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dashr\Downloads\"/>
    </mc:Choice>
  </mc:AlternateContent>
  <xr:revisionPtr revIDLastSave="0" documentId="13_ncr:1_{C3095DD0-A71E-490E-A687-A2264AFA1B38}" xr6:coauthVersionLast="47" xr6:coauthVersionMax="47" xr10:uidLastSave="{00000000-0000-0000-0000-000000000000}"/>
  <bookViews>
    <workbookView xWindow="-108" yWindow="-108" windowWidth="23256" windowHeight="12456" xr2:uid="{F7B24C9D-BFAB-48EB-970D-4D9E404164A9}"/>
  </bookViews>
  <sheets>
    <sheet name="Dashboard " sheetId="2" r:id="rId1"/>
    <sheet name="Starbucks_India_Data" sheetId="1" r:id="rId2"/>
    <sheet name="Pivot_City_Revenue" sheetId="3" r:id="rId3"/>
    <sheet name="Pivot_StoreType_Revenue" sheetId="4" r:id="rId4"/>
    <sheet name="Scatter Plot" sheetId="5" r:id="rId5"/>
    <sheet name="KPI Summary" sheetId="6" r:id="rId6"/>
    <sheet name="Revenue by Product Category" sheetId="7" r:id="rId7"/>
    <sheet name="Monthly Revenue Trends" sheetId="8" r:id="rId8"/>
    <sheet name="Revenue of top cities " sheetId="9" r:id="rId9"/>
  </sheets>
  <definedNames>
    <definedName name="_xlnm._FilterDatabase" localSheetId="1" hidden="1">Starbucks_India_Data!$A$1:$M$361</definedName>
    <definedName name="Slicer_State">#N/A</definedName>
    <definedName name="Slicer_Store_Type">#N/A</definedName>
  </definedNames>
  <calcPr calcId="191029"/>
  <pivotCaches>
    <pivotCache cacheId="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2" l="1"/>
  <c r="C13" i="2"/>
  <c r="C12" i="2"/>
  <c r="C11" i="2"/>
  <c r="C15" i="2" s="1"/>
  <c r="C5" i="6"/>
  <c r="C9" i="6" s="1"/>
  <c r="C8" i="6"/>
  <c r="C7" i="6"/>
  <c r="C6" i="6"/>
</calcChain>
</file>

<file path=xl/sharedStrings.xml><?xml version="1.0" encoding="utf-8"?>
<sst xmlns="http://schemas.openxmlformats.org/spreadsheetml/2006/main" count="1531" uniqueCount="60">
  <si>
    <t>Store ID</t>
  </si>
  <si>
    <t>City</t>
  </si>
  <si>
    <t>State</t>
  </si>
  <si>
    <t>Store Type</t>
  </si>
  <si>
    <t>Opening Date</t>
  </si>
  <si>
    <t>Employees</t>
  </si>
  <si>
    <t>Month</t>
  </si>
  <si>
    <t>Revenue (INR)</t>
  </si>
  <si>
    <t>Footfall</t>
  </si>
  <si>
    <t>Avg Spend/Customer (INR)</t>
  </si>
  <si>
    <t>Coffee Sales (INR)</t>
  </si>
  <si>
    <t>Food Sales (INR)</t>
  </si>
  <si>
    <t>Merchandise Sales (INR)</t>
  </si>
  <si>
    <t>Mumbai</t>
  </si>
  <si>
    <t>Maharashtra</t>
  </si>
  <si>
    <t>Company-Owned</t>
  </si>
  <si>
    <t>2024-01</t>
  </si>
  <si>
    <t>2024-02</t>
  </si>
  <si>
    <t>2024-03</t>
  </si>
  <si>
    <t>2024-04</t>
  </si>
  <si>
    <t>2024-05</t>
  </si>
  <si>
    <t>2024-06</t>
  </si>
  <si>
    <t>2024-07</t>
  </si>
  <si>
    <t>2024-08</t>
  </si>
  <si>
    <t>2024-09</t>
  </si>
  <si>
    <t>2024-10</t>
  </si>
  <si>
    <t>2024-11</t>
  </si>
  <si>
    <t>2024-12</t>
  </si>
  <si>
    <t>Delhi</t>
  </si>
  <si>
    <t>Bangalore</t>
  </si>
  <si>
    <t>Karnataka</t>
  </si>
  <si>
    <t>Licensed</t>
  </si>
  <si>
    <t>Hyderabad</t>
  </si>
  <si>
    <t>Telangana</t>
  </si>
  <si>
    <t>Chennai</t>
  </si>
  <si>
    <t>Tamil Nadu</t>
  </si>
  <si>
    <t>Kolkata</t>
  </si>
  <si>
    <t>West Bengal</t>
  </si>
  <si>
    <t>Pune</t>
  </si>
  <si>
    <t>Ahmedabad</t>
  </si>
  <si>
    <t>Gujarat</t>
  </si>
  <si>
    <t>Jaipur</t>
  </si>
  <si>
    <t>Rajasthan</t>
  </si>
  <si>
    <t>Chandigarh</t>
  </si>
  <si>
    <t>Punjab</t>
  </si>
  <si>
    <t>Row Labels</t>
  </si>
  <si>
    <t>Grand Total</t>
  </si>
  <si>
    <t>Sum of Revenue (INR)</t>
  </si>
  <si>
    <t>Sum of Coffee Sales (INR)</t>
  </si>
  <si>
    <t>Sum of Food Sales (INR)</t>
  </si>
  <si>
    <t>Sum of Merchandise Sales (INR)</t>
  </si>
  <si>
    <t>KPI</t>
  </si>
  <si>
    <t>Value</t>
  </si>
  <si>
    <t>Total Revenue (₹)</t>
  </si>
  <si>
    <t>Total Footfall</t>
  </si>
  <si>
    <t>Avg. Spend per Customer (₹)</t>
  </si>
  <si>
    <t>Total No. of Stores</t>
  </si>
  <si>
    <t>Avg. Revenue per Store (₹)</t>
  </si>
  <si>
    <t xml:space="preserve">KPI Summary </t>
  </si>
  <si>
    <t xml:space="preserve">Monthly 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</si>
</sst>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F800]dddd\,\ mmmm\ dd\,\ yyyy"/>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name val="Calibri"/>
      <family val="2"/>
      <scheme val="minor"/>
    </font>
    <font>
      <b/>
      <sz val="16"/>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
      <patternFill patternType="solid">
        <fgColor theme="4" tint="0.79998168889431442"/>
        <bgColor theme="4" tint="0.79998168889431442"/>
      </patternFill>
    </fill>
    <fill>
      <patternFill patternType="solid">
        <fgColor theme="9" tint="-0.249977111117893"/>
        <bgColor indexed="64"/>
      </patternFill>
    </fill>
    <fill>
      <patternFill patternType="solid">
        <fgColor theme="0"/>
        <bgColor indexed="64"/>
      </patternFill>
    </fill>
    <fill>
      <patternFill patternType="solid">
        <fgColor theme="5"/>
        <bgColor indexed="64"/>
      </patternFill>
    </fill>
    <fill>
      <patternFill patternType="solid">
        <fgColor theme="8" tint="0.5999938962981048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64" fontId="0" fillId="0" borderId="0" xfId="0" applyNumberFormat="1"/>
    <xf numFmtId="0" fontId="0" fillId="0" borderId="0" xfId="0" pivotButton="1"/>
    <xf numFmtId="0" fontId="0" fillId="0" borderId="0" xfId="0" applyAlignment="1">
      <alignment horizontal="left"/>
    </xf>
    <xf numFmtId="44" fontId="0" fillId="0" borderId="0" xfId="0" applyNumberFormat="1"/>
    <xf numFmtId="49" fontId="0" fillId="0" borderId="0" xfId="0" applyNumberFormat="1"/>
    <xf numFmtId="49" fontId="0" fillId="33" borderId="0" xfId="0" applyNumberFormat="1" applyFill="1"/>
    <xf numFmtId="165" fontId="0" fillId="0" borderId="0" xfId="0" applyNumberFormat="1"/>
    <xf numFmtId="0" fontId="16" fillId="0" borderId="10" xfId="0" applyFont="1" applyBorder="1" applyAlignment="1">
      <alignment horizontal="center" vertical="center" wrapText="1"/>
    </xf>
    <xf numFmtId="0" fontId="0" fillId="0" borderId="12"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165" fontId="16" fillId="0" borderId="11" xfId="0" applyNumberFormat="1" applyFont="1" applyBorder="1" applyAlignment="1">
      <alignment horizontal="center" vertical="center" wrapText="1"/>
    </xf>
    <xf numFmtId="165" fontId="0" fillId="0" borderId="13" xfId="0" applyNumberFormat="1" applyBorder="1" applyAlignment="1">
      <alignment vertical="center" wrapText="1"/>
    </xf>
    <xf numFmtId="165" fontId="0" fillId="0" borderId="15" xfId="0" applyNumberFormat="1" applyBorder="1" applyAlignment="1">
      <alignment vertical="center" wrapText="1"/>
    </xf>
    <xf numFmtId="0" fontId="0" fillId="0" borderId="0" xfId="0" applyNumberFormat="1"/>
    <xf numFmtId="0" fontId="0" fillId="35" borderId="0" xfId="0" applyFill="1"/>
    <xf numFmtId="0" fontId="0" fillId="36" borderId="0" xfId="0" applyFill="1"/>
    <xf numFmtId="0" fontId="0" fillId="34" borderId="16" xfId="0" applyFont="1" applyFill="1" applyBorder="1" applyAlignment="1">
      <alignment vertical="center" wrapText="1"/>
    </xf>
    <xf numFmtId="165" fontId="0" fillId="34" borderId="16" xfId="0" applyNumberFormat="1" applyFont="1" applyFill="1" applyBorder="1" applyAlignment="1">
      <alignment vertical="center" wrapText="1"/>
    </xf>
    <xf numFmtId="0" fontId="0" fillId="0" borderId="16" xfId="0" applyFont="1" applyBorder="1" applyAlignment="1">
      <alignment vertical="center" wrapText="1"/>
    </xf>
    <xf numFmtId="0" fontId="18" fillId="37" borderId="0" xfId="0" applyFont="1" applyFill="1"/>
    <xf numFmtId="0" fontId="0" fillId="38" borderId="0" xfId="0" applyFill="1"/>
    <xf numFmtId="0" fontId="19" fillId="38"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font>
        <color rgb="FF9C0006"/>
      </font>
      <fill>
        <patternFill>
          <bgColor rgb="FFFFC7CE"/>
        </patternFill>
      </fill>
    </dxf>
    <dxf>
      <font>
        <color rgb="FF9C0006"/>
      </font>
      <fill>
        <patternFill>
          <bgColor rgb="FFFFC7CE"/>
        </patternFill>
      </fill>
    </dxf>
    <dxf>
      <numFmt numFmtId="165" formatCode="&quot;₹&quot;\ #,##0.00"/>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5" formatCode="&quot;₹&quot;\ #,##0.00"/>
    </dxf>
    <dxf>
      <numFmt numFmtId="34" formatCode="_ &quot;₹&quot;\ * #,##0.00_ ;_ &quot;₹&quot;\ * \-#,##0.00_ ;_ &quot;₹&quot;\ * &quot;-&quot;??_ ;_ @_ "/>
    </dxf>
    <dxf>
      <numFmt numFmtId="34" formatCode="_ &quot;₹&quot;\ * #,##0.00_ ;_ &quot;₹&quot;\ * \-#,##0.00_ ;_ &quot;₹&quot;\ * &quot;-&quot;??_ ;_ @_ "/>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[Starbucks_India_Data.xlsx 12.xlsx]Monthly Revenue Trends!PivotTable1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Revenue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Trends'!$C$4</c:f>
              <c:strCache>
                <c:ptCount val="1"/>
                <c:pt idx="0">
                  <c:v>Total</c:v>
                </c:pt>
              </c:strCache>
            </c:strRef>
          </c:tx>
          <c:spPr>
            <a:ln w="28575" cap="rnd">
              <a:solidFill>
                <a:schemeClr val="accent1"/>
              </a:solidFill>
              <a:round/>
            </a:ln>
            <a:effectLst/>
          </c:spPr>
          <c:marker>
            <c:symbol val="none"/>
          </c:marker>
          <c:cat>
            <c:strRef>
              <c:f>'Monthly Revenue Trends'!$B$5:$B$17</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'Monthly Revenue Trends'!$C$5:$C$17</c:f>
              <c:numCache>
                <c:formatCode>General</c:formatCode>
                <c:ptCount val="12"/>
                <c:pt idx="0">
                  <c:v>3555502</c:v>
                </c:pt>
                <c:pt idx="1">
                  <c:v>4366158</c:v>
                </c:pt>
                <c:pt idx="2">
                  <c:v>2917210</c:v>
                </c:pt>
                <c:pt idx="3">
                  <c:v>4077235</c:v>
                </c:pt>
                <c:pt idx="4">
                  <c:v>4615070</c:v>
                </c:pt>
                <c:pt idx="5">
                  <c:v>2747439</c:v>
                </c:pt>
                <c:pt idx="6">
                  <c:v>2957673</c:v>
                </c:pt>
                <c:pt idx="7">
                  <c:v>3506166</c:v>
                </c:pt>
                <c:pt idx="8">
                  <c:v>4663773</c:v>
                </c:pt>
                <c:pt idx="9">
                  <c:v>2765369</c:v>
                </c:pt>
                <c:pt idx="10">
                  <c:v>3833094</c:v>
                </c:pt>
                <c:pt idx="11">
                  <c:v>2760575</c:v>
                </c:pt>
              </c:numCache>
            </c:numRef>
          </c:val>
          <c:smooth val="0"/>
          <c:extLst>
            <c:ext xmlns:c16="http://schemas.microsoft.com/office/drawing/2014/chart" uri="{C3380CC4-5D6E-409C-BE32-E72D297353CC}">
              <c16:uniqueId val="{00000000-AA9B-4E25-8D59-B572F935B8A9}"/>
            </c:ext>
          </c:extLst>
        </c:ser>
        <c:dLbls>
          <c:showLegendKey val="0"/>
          <c:showVal val="0"/>
          <c:showCatName val="0"/>
          <c:showSerName val="0"/>
          <c:showPercent val="0"/>
          <c:showBubbleSize val="0"/>
        </c:dLbls>
        <c:smooth val="0"/>
        <c:axId val="1696393120"/>
        <c:axId val="1696369600"/>
      </c:lineChart>
      <c:catAx>
        <c:axId val="1696393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Months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369600"/>
        <c:crosses val="autoZero"/>
        <c:auto val="1"/>
        <c:lblAlgn val="ctr"/>
        <c:lblOffset val="100"/>
        <c:noMultiLvlLbl val="0"/>
      </c:catAx>
      <c:valAx>
        <c:axId val="1696369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Revenue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39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solidFill>
                  <a:srgbClr val="FFFF00"/>
                </a:solidFill>
              </a:rPr>
              <a:t>Footfall vs. Avg. Spend per Customer</a:t>
            </a:r>
            <a:endParaRPr lang="en-IN">
              <a:solidFill>
                <a:srgbClr val="FFFF00"/>
              </a:solidFill>
            </a:endParaRPr>
          </a:p>
        </c:rich>
      </c:tx>
      <c:overlay val="0"/>
      <c:spPr>
        <a:solidFill>
          <a:schemeClr val="tx1"/>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manualLayout>
          <c:layoutTarget val="inner"/>
          <c:xMode val="edge"/>
          <c:yMode val="edge"/>
          <c:x val="0.14865048118985127"/>
          <c:y val="0.15319444444444447"/>
          <c:w val="0.80301618547681541"/>
          <c:h val="0.62836431904345291"/>
        </c:manualLayout>
      </c:layout>
      <c:scatterChart>
        <c:scatterStyle val="lineMarker"/>
        <c:varyColors val="0"/>
        <c:ser>
          <c:idx val="0"/>
          <c:order val="0"/>
          <c:tx>
            <c:strRef>
              <c:f>Starbucks_India_Data!$J$1</c:f>
              <c:strCache>
                <c:ptCount val="1"/>
                <c:pt idx="0">
                  <c:v>Avg Spend/Customer (INR)</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linear"/>
            <c:forward val="2"/>
            <c:dispRSqr val="0"/>
            <c:dispEq val="0"/>
          </c:trendline>
          <c:xVal>
            <c:numRef>
              <c:f>Starbucks_India_Data!$I$2:$I$361</c:f>
              <c:numCache>
                <c:formatCode>General</c:formatCode>
                <c:ptCount val="360"/>
                <c:pt idx="0">
                  <c:v>7012</c:v>
                </c:pt>
                <c:pt idx="1">
                  <c:v>4424</c:v>
                </c:pt>
                <c:pt idx="2">
                  <c:v>6582</c:v>
                </c:pt>
                <c:pt idx="3">
                  <c:v>6257</c:v>
                </c:pt>
                <c:pt idx="4">
                  <c:v>6611</c:v>
                </c:pt>
                <c:pt idx="5">
                  <c:v>5615</c:v>
                </c:pt>
                <c:pt idx="6">
                  <c:v>6527</c:v>
                </c:pt>
                <c:pt idx="7">
                  <c:v>9224</c:v>
                </c:pt>
                <c:pt idx="8">
                  <c:v>3711</c:v>
                </c:pt>
                <c:pt idx="9">
                  <c:v>4291</c:v>
                </c:pt>
                <c:pt idx="10">
                  <c:v>12459</c:v>
                </c:pt>
                <c:pt idx="11">
                  <c:v>7741</c:v>
                </c:pt>
                <c:pt idx="12">
                  <c:v>13415</c:v>
                </c:pt>
                <c:pt idx="13">
                  <c:v>6432</c:v>
                </c:pt>
                <c:pt idx="14">
                  <c:v>12980</c:v>
                </c:pt>
                <c:pt idx="15">
                  <c:v>5677</c:v>
                </c:pt>
                <c:pt idx="16">
                  <c:v>6598</c:v>
                </c:pt>
                <c:pt idx="17">
                  <c:v>6752</c:v>
                </c:pt>
                <c:pt idx="18">
                  <c:v>7386</c:v>
                </c:pt>
                <c:pt idx="19">
                  <c:v>14762</c:v>
                </c:pt>
                <c:pt idx="20">
                  <c:v>13532</c:v>
                </c:pt>
                <c:pt idx="21">
                  <c:v>12197</c:v>
                </c:pt>
                <c:pt idx="22">
                  <c:v>12560</c:v>
                </c:pt>
                <c:pt idx="23">
                  <c:v>11348</c:v>
                </c:pt>
                <c:pt idx="24">
                  <c:v>14149</c:v>
                </c:pt>
                <c:pt idx="25">
                  <c:v>12763</c:v>
                </c:pt>
                <c:pt idx="26">
                  <c:v>3188</c:v>
                </c:pt>
                <c:pt idx="27">
                  <c:v>7371</c:v>
                </c:pt>
                <c:pt idx="28">
                  <c:v>10123</c:v>
                </c:pt>
                <c:pt idx="29">
                  <c:v>11201</c:v>
                </c:pt>
                <c:pt idx="30">
                  <c:v>13244</c:v>
                </c:pt>
                <c:pt idx="31">
                  <c:v>5504</c:v>
                </c:pt>
                <c:pt idx="32">
                  <c:v>3009</c:v>
                </c:pt>
                <c:pt idx="33">
                  <c:v>8947</c:v>
                </c:pt>
                <c:pt idx="34">
                  <c:v>6923</c:v>
                </c:pt>
                <c:pt idx="35">
                  <c:v>4403</c:v>
                </c:pt>
                <c:pt idx="36">
                  <c:v>12007</c:v>
                </c:pt>
                <c:pt idx="37">
                  <c:v>6470</c:v>
                </c:pt>
                <c:pt idx="38">
                  <c:v>14680</c:v>
                </c:pt>
                <c:pt idx="39">
                  <c:v>10177</c:v>
                </c:pt>
                <c:pt idx="40">
                  <c:v>6681</c:v>
                </c:pt>
                <c:pt idx="41">
                  <c:v>6770</c:v>
                </c:pt>
                <c:pt idx="42">
                  <c:v>6750</c:v>
                </c:pt>
                <c:pt idx="43">
                  <c:v>4160</c:v>
                </c:pt>
                <c:pt idx="44">
                  <c:v>6510</c:v>
                </c:pt>
                <c:pt idx="45">
                  <c:v>12440</c:v>
                </c:pt>
                <c:pt idx="46">
                  <c:v>6119</c:v>
                </c:pt>
                <c:pt idx="47">
                  <c:v>9939</c:v>
                </c:pt>
                <c:pt idx="48">
                  <c:v>3993</c:v>
                </c:pt>
                <c:pt idx="49">
                  <c:v>7073</c:v>
                </c:pt>
                <c:pt idx="50">
                  <c:v>9912</c:v>
                </c:pt>
                <c:pt idx="51">
                  <c:v>10260</c:v>
                </c:pt>
                <c:pt idx="52">
                  <c:v>3828</c:v>
                </c:pt>
                <c:pt idx="53">
                  <c:v>4528</c:v>
                </c:pt>
                <c:pt idx="54">
                  <c:v>9658</c:v>
                </c:pt>
                <c:pt idx="55">
                  <c:v>3960</c:v>
                </c:pt>
                <c:pt idx="56">
                  <c:v>7345</c:v>
                </c:pt>
                <c:pt idx="57">
                  <c:v>9930</c:v>
                </c:pt>
                <c:pt idx="58">
                  <c:v>13844</c:v>
                </c:pt>
                <c:pt idx="59">
                  <c:v>6566</c:v>
                </c:pt>
                <c:pt idx="60">
                  <c:v>3821</c:v>
                </c:pt>
                <c:pt idx="61">
                  <c:v>5579</c:v>
                </c:pt>
                <c:pt idx="62">
                  <c:v>4122</c:v>
                </c:pt>
                <c:pt idx="63">
                  <c:v>9615</c:v>
                </c:pt>
                <c:pt idx="64">
                  <c:v>12485</c:v>
                </c:pt>
                <c:pt idx="65">
                  <c:v>13770</c:v>
                </c:pt>
                <c:pt idx="66">
                  <c:v>6346</c:v>
                </c:pt>
                <c:pt idx="67">
                  <c:v>9484</c:v>
                </c:pt>
                <c:pt idx="68">
                  <c:v>8180</c:v>
                </c:pt>
                <c:pt idx="69">
                  <c:v>10508</c:v>
                </c:pt>
                <c:pt idx="70">
                  <c:v>4200</c:v>
                </c:pt>
                <c:pt idx="71">
                  <c:v>8718</c:v>
                </c:pt>
                <c:pt idx="72">
                  <c:v>11900</c:v>
                </c:pt>
                <c:pt idx="73">
                  <c:v>3128</c:v>
                </c:pt>
                <c:pt idx="74">
                  <c:v>5200</c:v>
                </c:pt>
                <c:pt idx="75">
                  <c:v>5546</c:v>
                </c:pt>
                <c:pt idx="76">
                  <c:v>6335</c:v>
                </c:pt>
                <c:pt idx="77">
                  <c:v>11004</c:v>
                </c:pt>
                <c:pt idx="78">
                  <c:v>4512</c:v>
                </c:pt>
                <c:pt idx="79">
                  <c:v>3058</c:v>
                </c:pt>
                <c:pt idx="80">
                  <c:v>5647</c:v>
                </c:pt>
                <c:pt idx="81">
                  <c:v>12189</c:v>
                </c:pt>
                <c:pt idx="82">
                  <c:v>11938</c:v>
                </c:pt>
                <c:pt idx="83">
                  <c:v>5426</c:v>
                </c:pt>
                <c:pt idx="84">
                  <c:v>6441</c:v>
                </c:pt>
                <c:pt idx="85">
                  <c:v>12173</c:v>
                </c:pt>
                <c:pt idx="86">
                  <c:v>6878</c:v>
                </c:pt>
                <c:pt idx="87">
                  <c:v>9755</c:v>
                </c:pt>
                <c:pt idx="88">
                  <c:v>9745</c:v>
                </c:pt>
                <c:pt idx="89">
                  <c:v>7371</c:v>
                </c:pt>
                <c:pt idx="90">
                  <c:v>3634</c:v>
                </c:pt>
                <c:pt idx="91">
                  <c:v>8728</c:v>
                </c:pt>
                <c:pt idx="92">
                  <c:v>6652</c:v>
                </c:pt>
                <c:pt idx="93">
                  <c:v>7564</c:v>
                </c:pt>
                <c:pt idx="94">
                  <c:v>8753</c:v>
                </c:pt>
                <c:pt idx="95">
                  <c:v>8425</c:v>
                </c:pt>
                <c:pt idx="96">
                  <c:v>3626</c:v>
                </c:pt>
                <c:pt idx="97">
                  <c:v>10149</c:v>
                </c:pt>
                <c:pt idx="98">
                  <c:v>12446</c:v>
                </c:pt>
                <c:pt idx="99">
                  <c:v>3027</c:v>
                </c:pt>
                <c:pt idx="100">
                  <c:v>8967</c:v>
                </c:pt>
                <c:pt idx="101">
                  <c:v>13209</c:v>
                </c:pt>
                <c:pt idx="102">
                  <c:v>11308</c:v>
                </c:pt>
                <c:pt idx="103">
                  <c:v>14423</c:v>
                </c:pt>
                <c:pt idx="104">
                  <c:v>13894</c:v>
                </c:pt>
                <c:pt idx="105">
                  <c:v>13084</c:v>
                </c:pt>
                <c:pt idx="106">
                  <c:v>7978</c:v>
                </c:pt>
                <c:pt idx="107">
                  <c:v>10618</c:v>
                </c:pt>
                <c:pt idx="108">
                  <c:v>13794</c:v>
                </c:pt>
                <c:pt idx="109">
                  <c:v>4530</c:v>
                </c:pt>
                <c:pt idx="110">
                  <c:v>6680</c:v>
                </c:pt>
                <c:pt idx="111">
                  <c:v>7011</c:v>
                </c:pt>
                <c:pt idx="112">
                  <c:v>10461</c:v>
                </c:pt>
                <c:pt idx="113">
                  <c:v>14769</c:v>
                </c:pt>
                <c:pt idx="114">
                  <c:v>5417</c:v>
                </c:pt>
                <c:pt idx="115">
                  <c:v>9965</c:v>
                </c:pt>
                <c:pt idx="116">
                  <c:v>10611</c:v>
                </c:pt>
                <c:pt idx="117">
                  <c:v>10478</c:v>
                </c:pt>
                <c:pt idx="118">
                  <c:v>12157</c:v>
                </c:pt>
                <c:pt idx="119">
                  <c:v>13037</c:v>
                </c:pt>
                <c:pt idx="120">
                  <c:v>5607</c:v>
                </c:pt>
                <c:pt idx="121">
                  <c:v>7050</c:v>
                </c:pt>
                <c:pt idx="122">
                  <c:v>10939</c:v>
                </c:pt>
                <c:pt idx="123">
                  <c:v>14690</c:v>
                </c:pt>
                <c:pt idx="124">
                  <c:v>11849</c:v>
                </c:pt>
                <c:pt idx="125">
                  <c:v>14369</c:v>
                </c:pt>
                <c:pt idx="126">
                  <c:v>9678</c:v>
                </c:pt>
                <c:pt idx="127">
                  <c:v>6388</c:v>
                </c:pt>
                <c:pt idx="128">
                  <c:v>12432</c:v>
                </c:pt>
                <c:pt idx="129">
                  <c:v>7892</c:v>
                </c:pt>
                <c:pt idx="130">
                  <c:v>11818</c:v>
                </c:pt>
                <c:pt idx="131">
                  <c:v>10999</c:v>
                </c:pt>
                <c:pt idx="132">
                  <c:v>14864</c:v>
                </c:pt>
                <c:pt idx="133">
                  <c:v>13195</c:v>
                </c:pt>
                <c:pt idx="134">
                  <c:v>13862</c:v>
                </c:pt>
                <c:pt idx="135">
                  <c:v>10564</c:v>
                </c:pt>
                <c:pt idx="136">
                  <c:v>6467</c:v>
                </c:pt>
                <c:pt idx="137">
                  <c:v>7558</c:v>
                </c:pt>
                <c:pt idx="138">
                  <c:v>4341</c:v>
                </c:pt>
                <c:pt idx="139">
                  <c:v>8733</c:v>
                </c:pt>
                <c:pt idx="140">
                  <c:v>3508</c:v>
                </c:pt>
                <c:pt idx="141">
                  <c:v>13179</c:v>
                </c:pt>
                <c:pt idx="142">
                  <c:v>12240</c:v>
                </c:pt>
                <c:pt idx="143">
                  <c:v>9043</c:v>
                </c:pt>
                <c:pt idx="144">
                  <c:v>4771</c:v>
                </c:pt>
                <c:pt idx="145">
                  <c:v>9498</c:v>
                </c:pt>
                <c:pt idx="146">
                  <c:v>4669</c:v>
                </c:pt>
                <c:pt idx="147">
                  <c:v>12272</c:v>
                </c:pt>
                <c:pt idx="148">
                  <c:v>13838</c:v>
                </c:pt>
                <c:pt idx="149">
                  <c:v>3207</c:v>
                </c:pt>
                <c:pt idx="150">
                  <c:v>10102</c:v>
                </c:pt>
                <c:pt idx="151">
                  <c:v>14588</c:v>
                </c:pt>
                <c:pt idx="152">
                  <c:v>13657</c:v>
                </c:pt>
                <c:pt idx="153">
                  <c:v>10921</c:v>
                </c:pt>
                <c:pt idx="154">
                  <c:v>8280</c:v>
                </c:pt>
                <c:pt idx="155">
                  <c:v>7569</c:v>
                </c:pt>
                <c:pt idx="156">
                  <c:v>8511</c:v>
                </c:pt>
                <c:pt idx="157">
                  <c:v>10988</c:v>
                </c:pt>
                <c:pt idx="158">
                  <c:v>7581</c:v>
                </c:pt>
                <c:pt idx="159">
                  <c:v>12106</c:v>
                </c:pt>
                <c:pt idx="160">
                  <c:v>6954</c:v>
                </c:pt>
                <c:pt idx="161">
                  <c:v>14314</c:v>
                </c:pt>
                <c:pt idx="162">
                  <c:v>3282</c:v>
                </c:pt>
                <c:pt idx="163">
                  <c:v>8016</c:v>
                </c:pt>
                <c:pt idx="164">
                  <c:v>11698</c:v>
                </c:pt>
                <c:pt idx="165">
                  <c:v>8419</c:v>
                </c:pt>
                <c:pt idx="166">
                  <c:v>7118</c:v>
                </c:pt>
                <c:pt idx="167">
                  <c:v>4958</c:v>
                </c:pt>
                <c:pt idx="168">
                  <c:v>7530</c:v>
                </c:pt>
                <c:pt idx="169">
                  <c:v>12777</c:v>
                </c:pt>
                <c:pt idx="170">
                  <c:v>7853</c:v>
                </c:pt>
                <c:pt idx="171">
                  <c:v>14600</c:v>
                </c:pt>
                <c:pt idx="172">
                  <c:v>12066</c:v>
                </c:pt>
                <c:pt idx="173">
                  <c:v>4680</c:v>
                </c:pt>
                <c:pt idx="174">
                  <c:v>10843</c:v>
                </c:pt>
                <c:pt idx="175">
                  <c:v>7136</c:v>
                </c:pt>
                <c:pt idx="176">
                  <c:v>9565</c:v>
                </c:pt>
                <c:pt idx="177">
                  <c:v>5485</c:v>
                </c:pt>
                <c:pt idx="178">
                  <c:v>4395</c:v>
                </c:pt>
                <c:pt idx="179">
                  <c:v>12933</c:v>
                </c:pt>
                <c:pt idx="180">
                  <c:v>12642</c:v>
                </c:pt>
                <c:pt idx="181">
                  <c:v>12988</c:v>
                </c:pt>
                <c:pt idx="182">
                  <c:v>13248</c:v>
                </c:pt>
                <c:pt idx="183">
                  <c:v>6929</c:v>
                </c:pt>
                <c:pt idx="184">
                  <c:v>9693</c:v>
                </c:pt>
                <c:pt idx="185">
                  <c:v>3534</c:v>
                </c:pt>
                <c:pt idx="186">
                  <c:v>4166</c:v>
                </c:pt>
                <c:pt idx="187">
                  <c:v>9965</c:v>
                </c:pt>
                <c:pt idx="188">
                  <c:v>7352</c:v>
                </c:pt>
                <c:pt idx="189">
                  <c:v>8039</c:v>
                </c:pt>
                <c:pt idx="190">
                  <c:v>10195</c:v>
                </c:pt>
                <c:pt idx="191">
                  <c:v>7460</c:v>
                </c:pt>
                <c:pt idx="192">
                  <c:v>8280</c:v>
                </c:pt>
                <c:pt idx="193">
                  <c:v>14047</c:v>
                </c:pt>
                <c:pt idx="194">
                  <c:v>14014</c:v>
                </c:pt>
                <c:pt idx="195">
                  <c:v>10708</c:v>
                </c:pt>
                <c:pt idx="196">
                  <c:v>5973</c:v>
                </c:pt>
                <c:pt idx="197">
                  <c:v>4494</c:v>
                </c:pt>
                <c:pt idx="198">
                  <c:v>13979</c:v>
                </c:pt>
                <c:pt idx="199">
                  <c:v>14365</c:v>
                </c:pt>
                <c:pt idx="200">
                  <c:v>12012</c:v>
                </c:pt>
                <c:pt idx="201">
                  <c:v>8296</c:v>
                </c:pt>
                <c:pt idx="202">
                  <c:v>3018</c:v>
                </c:pt>
                <c:pt idx="203">
                  <c:v>3888</c:v>
                </c:pt>
                <c:pt idx="204">
                  <c:v>6335</c:v>
                </c:pt>
                <c:pt idx="205">
                  <c:v>10178</c:v>
                </c:pt>
                <c:pt idx="206">
                  <c:v>13322</c:v>
                </c:pt>
                <c:pt idx="207">
                  <c:v>8091</c:v>
                </c:pt>
                <c:pt idx="208">
                  <c:v>6681</c:v>
                </c:pt>
                <c:pt idx="209">
                  <c:v>4924</c:v>
                </c:pt>
                <c:pt idx="210">
                  <c:v>11337</c:v>
                </c:pt>
                <c:pt idx="211">
                  <c:v>10736</c:v>
                </c:pt>
                <c:pt idx="212">
                  <c:v>6122</c:v>
                </c:pt>
                <c:pt idx="213">
                  <c:v>4143</c:v>
                </c:pt>
                <c:pt idx="214">
                  <c:v>8568</c:v>
                </c:pt>
                <c:pt idx="215">
                  <c:v>7634</c:v>
                </c:pt>
                <c:pt idx="216">
                  <c:v>11824</c:v>
                </c:pt>
                <c:pt idx="217">
                  <c:v>9180</c:v>
                </c:pt>
                <c:pt idx="218">
                  <c:v>14427</c:v>
                </c:pt>
                <c:pt idx="219">
                  <c:v>3715</c:v>
                </c:pt>
                <c:pt idx="220">
                  <c:v>9325</c:v>
                </c:pt>
                <c:pt idx="221">
                  <c:v>11115</c:v>
                </c:pt>
                <c:pt idx="222">
                  <c:v>4644</c:v>
                </c:pt>
                <c:pt idx="223">
                  <c:v>10486</c:v>
                </c:pt>
                <c:pt idx="224">
                  <c:v>4225</c:v>
                </c:pt>
                <c:pt idx="225">
                  <c:v>13211</c:v>
                </c:pt>
                <c:pt idx="226">
                  <c:v>14048</c:v>
                </c:pt>
                <c:pt idx="227">
                  <c:v>13269</c:v>
                </c:pt>
                <c:pt idx="228">
                  <c:v>13340</c:v>
                </c:pt>
                <c:pt idx="229">
                  <c:v>4480</c:v>
                </c:pt>
                <c:pt idx="230">
                  <c:v>10269</c:v>
                </c:pt>
                <c:pt idx="231">
                  <c:v>3753</c:v>
                </c:pt>
                <c:pt idx="232">
                  <c:v>9141</c:v>
                </c:pt>
                <c:pt idx="233">
                  <c:v>12272</c:v>
                </c:pt>
                <c:pt idx="234">
                  <c:v>4293</c:v>
                </c:pt>
                <c:pt idx="235">
                  <c:v>11153</c:v>
                </c:pt>
                <c:pt idx="236">
                  <c:v>13451</c:v>
                </c:pt>
                <c:pt idx="237">
                  <c:v>10622</c:v>
                </c:pt>
                <c:pt idx="238">
                  <c:v>4210</c:v>
                </c:pt>
                <c:pt idx="239">
                  <c:v>13468</c:v>
                </c:pt>
                <c:pt idx="240">
                  <c:v>9302</c:v>
                </c:pt>
                <c:pt idx="241">
                  <c:v>12370</c:v>
                </c:pt>
                <c:pt idx="242">
                  <c:v>3359</c:v>
                </c:pt>
                <c:pt idx="243">
                  <c:v>3132</c:v>
                </c:pt>
                <c:pt idx="244">
                  <c:v>12935</c:v>
                </c:pt>
                <c:pt idx="245">
                  <c:v>6770</c:v>
                </c:pt>
                <c:pt idx="246">
                  <c:v>13172</c:v>
                </c:pt>
                <c:pt idx="247">
                  <c:v>13293</c:v>
                </c:pt>
                <c:pt idx="248">
                  <c:v>8061</c:v>
                </c:pt>
                <c:pt idx="249">
                  <c:v>14998</c:v>
                </c:pt>
                <c:pt idx="250">
                  <c:v>9807</c:v>
                </c:pt>
                <c:pt idx="251">
                  <c:v>8994</c:v>
                </c:pt>
                <c:pt idx="252">
                  <c:v>8549</c:v>
                </c:pt>
                <c:pt idx="253">
                  <c:v>5306</c:v>
                </c:pt>
                <c:pt idx="254">
                  <c:v>12131</c:v>
                </c:pt>
                <c:pt idx="255">
                  <c:v>7332</c:v>
                </c:pt>
                <c:pt idx="256">
                  <c:v>12577</c:v>
                </c:pt>
                <c:pt idx="257">
                  <c:v>4775</c:v>
                </c:pt>
                <c:pt idx="258">
                  <c:v>8374</c:v>
                </c:pt>
                <c:pt idx="259">
                  <c:v>13410</c:v>
                </c:pt>
                <c:pt idx="260">
                  <c:v>13637</c:v>
                </c:pt>
                <c:pt idx="261">
                  <c:v>7986</c:v>
                </c:pt>
                <c:pt idx="262">
                  <c:v>11807</c:v>
                </c:pt>
                <c:pt idx="263">
                  <c:v>9866</c:v>
                </c:pt>
                <c:pt idx="264">
                  <c:v>13086</c:v>
                </c:pt>
                <c:pt idx="265">
                  <c:v>14309</c:v>
                </c:pt>
                <c:pt idx="266">
                  <c:v>8942</c:v>
                </c:pt>
                <c:pt idx="267">
                  <c:v>13564</c:v>
                </c:pt>
                <c:pt idx="268">
                  <c:v>5001</c:v>
                </c:pt>
                <c:pt idx="269">
                  <c:v>13858</c:v>
                </c:pt>
                <c:pt idx="270">
                  <c:v>3828</c:v>
                </c:pt>
                <c:pt idx="271">
                  <c:v>12250</c:v>
                </c:pt>
                <c:pt idx="272">
                  <c:v>6394</c:v>
                </c:pt>
                <c:pt idx="273">
                  <c:v>8383</c:v>
                </c:pt>
                <c:pt idx="274">
                  <c:v>7542</c:v>
                </c:pt>
                <c:pt idx="275">
                  <c:v>11850</c:v>
                </c:pt>
                <c:pt idx="276">
                  <c:v>6898</c:v>
                </c:pt>
                <c:pt idx="277">
                  <c:v>3858</c:v>
                </c:pt>
                <c:pt idx="278">
                  <c:v>4041</c:v>
                </c:pt>
                <c:pt idx="279">
                  <c:v>12726</c:v>
                </c:pt>
                <c:pt idx="280">
                  <c:v>14915</c:v>
                </c:pt>
                <c:pt idx="281">
                  <c:v>7941</c:v>
                </c:pt>
                <c:pt idx="282">
                  <c:v>10847</c:v>
                </c:pt>
                <c:pt idx="283">
                  <c:v>11032</c:v>
                </c:pt>
                <c:pt idx="284">
                  <c:v>8277</c:v>
                </c:pt>
                <c:pt idx="285">
                  <c:v>13228</c:v>
                </c:pt>
                <c:pt idx="286">
                  <c:v>9240</c:v>
                </c:pt>
                <c:pt idx="287">
                  <c:v>11282</c:v>
                </c:pt>
                <c:pt idx="288">
                  <c:v>14810</c:v>
                </c:pt>
                <c:pt idx="289">
                  <c:v>9779</c:v>
                </c:pt>
                <c:pt idx="290">
                  <c:v>14953</c:v>
                </c:pt>
                <c:pt idx="291">
                  <c:v>9132</c:v>
                </c:pt>
                <c:pt idx="292">
                  <c:v>4099</c:v>
                </c:pt>
                <c:pt idx="293">
                  <c:v>4582</c:v>
                </c:pt>
                <c:pt idx="294">
                  <c:v>12115</c:v>
                </c:pt>
                <c:pt idx="295">
                  <c:v>8400</c:v>
                </c:pt>
                <c:pt idx="296">
                  <c:v>14813</c:v>
                </c:pt>
                <c:pt idx="297">
                  <c:v>8761</c:v>
                </c:pt>
                <c:pt idx="298">
                  <c:v>13759</c:v>
                </c:pt>
                <c:pt idx="299">
                  <c:v>12113</c:v>
                </c:pt>
                <c:pt idx="300">
                  <c:v>13186</c:v>
                </c:pt>
                <c:pt idx="301">
                  <c:v>12977</c:v>
                </c:pt>
                <c:pt idx="302">
                  <c:v>3474</c:v>
                </c:pt>
                <c:pt idx="303">
                  <c:v>8567</c:v>
                </c:pt>
                <c:pt idx="304">
                  <c:v>12278</c:v>
                </c:pt>
                <c:pt idx="305">
                  <c:v>4503</c:v>
                </c:pt>
                <c:pt idx="306">
                  <c:v>10432</c:v>
                </c:pt>
                <c:pt idx="307">
                  <c:v>12299</c:v>
                </c:pt>
                <c:pt idx="308">
                  <c:v>5579</c:v>
                </c:pt>
                <c:pt idx="309">
                  <c:v>7458</c:v>
                </c:pt>
                <c:pt idx="310">
                  <c:v>9785</c:v>
                </c:pt>
                <c:pt idx="311">
                  <c:v>8655</c:v>
                </c:pt>
                <c:pt idx="312">
                  <c:v>3744</c:v>
                </c:pt>
                <c:pt idx="313">
                  <c:v>3125</c:v>
                </c:pt>
                <c:pt idx="314">
                  <c:v>7186</c:v>
                </c:pt>
                <c:pt idx="315">
                  <c:v>10055</c:v>
                </c:pt>
                <c:pt idx="316">
                  <c:v>11196</c:v>
                </c:pt>
                <c:pt idx="317">
                  <c:v>4180</c:v>
                </c:pt>
                <c:pt idx="318">
                  <c:v>3307</c:v>
                </c:pt>
                <c:pt idx="319">
                  <c:v>12433</c:v>
                </c:pt>
                <c:pt idx="320">
                  <c:v>7743</c:v>
                </c:pt>
                <c:pt idx="321">
                  <c:v>5815</c:v>
                </c:pt>
                <c:pt idx="322">
                  <c:v>4443</c:v>
                </c:pt>
                <c:pt idx="323">
                  <c:v>12648</c:v>
                </c:pt>
                <c:pt idx="324">
                  <c:v>8456</c:v>
                </c:pt>
                <c:pt idx="325">
                  <c:v>11693</c:v>
                </c:pt>
                <c:pt idx="326">
                  <c:v>8752</c:v>
                </c:pt>
                <c:pt idx="327">
                  <c:v>6871</c:v>
                </c:pt>
                <c:pt idx="328">
                  <c:v>12869</c:v>
                </c:pt>
                <c:pt idx="329">
                  <c:v>5902</c:v>
                </c:pt>
                <c:pt idx="330">
                  <c:v>12236</c:v>
                </c:pt>
                <c:pt idx="331">
                  <c:v>13534</c:v>
                </c:pt>
                <c:pt idx="332">
                  <c:v>5473</c:v>
                </c:pt>
                <c:pt idx="333">
                  <c:v>7500</c:v>
                </c:pt>
                <c:pt idx="334">
                  <c:v>8085</c:v>
                </c:pt>
                <c:pt idx="335">
                  <c:v>7703</c:v>
                </c:pt>
                <c:pt idx="336">
                  <c:v>9299</c:v>
                </c:pt>
                <c:pt idx="337">
                  <c:v>10368</c:v>
                </c:pt>
                <c:pt idx="338">
                  <c:v>8267</c:v>
                </c:pt>
                <c:pt idx="339">
                  <c:v>10381</c:v>
                </c:pt>
                <c:pt idx="340">
                  <c:v>14703</c:v>
                </c:pt>
                <c:pt idx="341">
                  <c:v>7059</c:v>
                </c:pt>
                <c:pt idx="342">
                  <c:v>11564</c:v>
                </c:pt>
                <c:pt idx="343">
                  <c:v>9347</c:v>
                </c:pt>
                <c:pt idx="344">
                  <c:v>13336</c:v>
                </c:pt>
                <c:pt idx="345">
                  <c:v>12141</c:v>
                </c:pt>
                <c:pt idx="346">
                  <c:v>8461</c:v>
                </c:pt>
                <c:pt idx="347">
                  <c:v>8082</c:v>
                </c:pt>
                <c:pt idx="348">
                  <c:v>8072</c:v>
                </c:pt>
                <c:pt idx="349">
                  <c:v>5093</c:v>
                </c:pt>
                <c:pt idx="350">
                  <c:v>4531</c:v>
                </c:pt>
                <c:pt idx="351">
                  <c:v>3298</c:v>
                </c:pt>
                <c:pt idx="352">
                  <c:v>8598</c:v>
                </c:pt>
                <c:pt idx="353">
                  <c:v>5253</c:v>
                </c:pt>
                <c:pt idx="354">
                  <c:v>11317</c:v>
                </c:pt>
                <c:pt idx="355">
                  <c:v>3618</c:v>
                </c:pt>
                <c:pt idx="356">
                  <c:v>12785</c:v>
                </c:pt>
                <c:pt idx="357">
                  <c:v>14815</c:v>
                </c:pt>
                <c:pt idx="358">
                  <c:v>10277</c:v>
                </c:pt>
                <c:pt idx="359">
                  <c:v>6833</c:v>
                </c:pt>
              </c:numCache>
            </c:numRef>
          </c:xVal>
          <c:yVal>
            <c:numRef>
              <c:f>Starbucks_India_Data!$J$2:$J$361</c:f>
              <c:numCache>
                <c:formatCode>General</c:formatCode>
                <c:ptCount val="360"/>
                <c:pt idx="0">
                  <c:v>125.04</c:v>
                </c:pt>
                <c:pt idx="1">
                  <c:v>326.33999999999997</c:v>
                </c:pt>
                <c:pt idx="2">
                  <c:v>75.430000000000007</c:v>
                </c:pt>
                <c:pt idx="3">
                  <c:v>236.06</c:v>
                </c:pt>
                <c:pt idx="4">
                  <c:v>178.46</c:v>
                </c:pt>
                <c:pt idx="5">
                  <c:v>55.86</c:v>
                </c:pt>
                <c:pt idx="6">
                  <c:v>95.92</c:v>
                </c:pt>
                <c:pt idx="7">
                  <c:v>53.61</c:v>
                </c:pt>
                <c:pt idx="8">
                  <c:v>230.33</c:v>
                </c:pt>
                <c:pt idx="9">
                  <c:v>254.92</c:v>
                </c:pt>
                <c:pt idx="10">
                  <c:v>84.95</c:v>
                </c:pt>
                <c:pt idx="11">
                  <c:v>100.5</c:v>
                </c:pt>
                <c:pt idx="12">
                  <c:v>93.24</c:v>
                </c:pt>
                <c:pt idx="13">
                  <c:v>162.47999999999999</c:v>
                </c:pt>
                <c:pt idx="14">
                  <c:v>34.65</c:v>
                </c:pt>
                <c:pt idx="15">
                  <c:v>143.28</c:v>
                </c:pt>
                <c:pt idx="16">
                  <c:v>222.49</c:v>
                </c:pt>
                <c:pt idx="17">
                  <c:v>61.81</c:v>
                </c:pt>
                <c:pt idx="18">
                  <c:v>154.52000000000001</c:v>
                </c:pt>
                <c:pt idx="19">
                  <c:v>100.9</c:v>
                </c:pt>
                <c:pt idx="20">
                  <c:v>83.48</c:v>
                </c:pt>
                <c:pt idx="21">
                  <c:v>67</c:v>
                </c:pt>
                <c:pt idx="22">
                  <c:v>95.42</c:v>
                </c:pt>
                <c:pt idx="23">
                  <c:v>52</c:v>
                </c:pt>
                <c:pt idx="24">
                  <c:v>44.92</c:v>
                </c:pt>
                <c:pt idx="25">
                  <c:v>86.21</c:v>
                </c:pt>
                <c:pt idx="26">
                  <c:v>458.03</c:v>
                </c:pt>
                <c:pt idx="27">
                  <c:v>193.48</c:v>
                </c:pt>
                <c:pt idx="28">
                  <c:v>90.44</c:v>
                </c:pt>
                <c:pt idx="29">
                  <c:v>76.099999999999994</c:v>
                </c:pt>
                <c:pt idx="30">
                  <c:v>39.5</c:v>
                </c:pt>
                <c:pt idx="31">
                  <c:v>130.30000000000001</c:v>
                </c:pt>
                <c:pt idx="32">
                  <c:v>469.34</c:v>
                </c:pt>
                <c:pt idx="33">
                  <c:v>59.75</c:v>
                </c:pt>
                <c:pt idx="34">
                  <c:v>136.49</c:v>
                </c:pt>
                <c:pt idx="35">
                  <c:v>105.65</c:v>
                </c:pt>
                <c:pt idx="36">
                  <c:v>108</c:v>
                </c:pt>
                <c:pt idx="37">
                  <c:v>183.52</c:v>
                </c:pt>
                <c:pt idx="38">
                  <c:v>49.17</c:v>
                </c:pt>
                <c:pt idx="39">
                  <c:v>106.43</c:v>
                </c:pt>
                <c:pt idx="40">
                  <c:v>122.72</c:v>
                </c:pt>
                <c:pt idx="41">
                  <c:v>215.9</c:v>
                </c:pt>
                <c:pt idx="42">
                  <c:v>62.74</c:v>
                </c:pt>
                <c:pt idx="43">
                  <c:v>238.69</c:v>
                </c:pt>
                <c:pt idx="44">
                  <c:v>202.46</c:v>
                </c:pt>
                <c:pt idx="45">
                  <c:v>120.38</c:v>
                </c:pt>
                <c:pt idx="46">
                  <c:v>188.54</c:v>
                </c:pt>
                <c:pt idx="47">
                  <c:v>104.94</c:v>
                </c:pt>
                <c:pt idx="48">
                  <c:v>126.82</c:v>
                </c:pt>
                <c:pt idx="49">
                  <c:v>74.81</c:v>
                </c:pt>
                <c:pt idx="50">
                  <c:v>59.93</c:v>
                </c:pt>
                <c:pt idx="51">
                  <c:v>44.65</c:v>
                </c:pt>
                <c:pt idx="52">
                  <c:v>132.01</c:v>
                </c:pt>
                <c:pt idx="53">
                  <c:v>73.09</c:v>
                </c:pt>
                <c:pt idx="54">
                  <c:v>67.180000000000007</c:v>
                </c:pt>
                <c:pt idx="55">
                  <c:v>288.14</c:v>
                </c:pt>
                <c:pt idx="56">
                  <c:v>152.32</c:v>
                </c:pt>
                <c:pt idx="57">
                  <c:v>90.45</c:v>
                </c:pt>
                <c:pt idx="58">
                  <c:v>105.86</c:v>
                </c:pt>
                <c:pt idx="59">
                  <c:v>140.46</c:v>
                </c:pt>
                <c:pt idx="60">
                  <c:v>109.89</c:v>
                </c:pt>
                <c:pt idx="61">
                  <c:v>253.42</c:v>
                </c:pt>
                <c:pt idx="62">
                  <c:v>167.32</c:v>
                </c:pt>
                <c:pt idx="63">
                  <c:v>82.5</c:v>
                </c:pt>
                <c:pt idx="64">
                  <c:v>65.39</c:v>
                </c:pt>
                <c:pt idx="65">
                  <c:v>85.63</c:v>
                </c:pt>
                <c:pt idx="66">
                  <c:v>133.44999999999999</c:v>
                </c:pt>
                <c:pt idx="67">
                  <c:v>90.37</c:v>
                </c:pt>
                <c:pt idx="68">
                  <c:v>153.9</c:v>
                </c:pt>
                <c:pt idx="69">
                  <c:v>30.41</c:v>
                </c:pt>
                <c:pt idx="70">
                  <c:v>121.35</c:v>
                </c:pt>
                <c:pt idx="71">
                  <c:v>66.27</c:v>
                </c:pt>
                <c:pt idx="72">
                  <c:v>102.43</c:v>
                </c:pt>
                <c:pt idx="73">
                  <c:v>450.53</c:v>
                </c:pt>
                <c:pt idx="74">
                  <c:v>99.47</c:v>
                </c:pt>
                <c:pt idx="75">
                  <c:v>263.29000000000002</c:v>
                </c:pt>
                <c:pt idx="76">
                  <c:v>160.86000000000001</c:v>
                </c:pt>
                <c:pt idx="77">
                  <c:v>123.58</c:v>
                </c:pt>
                <c:pt idx="78">
                  <c:v>90.1</c:v>
                </c:pt>
                <c:pt idx="79">
                  <c:v>128.34</c:v>
                </c:pt>
                <c:pt idx="80">
                  <c:v>150.41</c:v>
                </c:pt>
                <c:pt idx="81">
                  <c:v>98.2</c:v>
                </c:pt>
                <c:pt idx="82">
                  <c:v>51.31</c:v>
                </c:pt>
                <c:pt idx="83">
                  <c:v>268.83999999999997</c:v>
                </c:pt>
                <c:pt idx="84">
                  <c:v>163.08000000000001</c:v>
                </c:pt>
                <c:pt idx="85">
                  <c:v>85.58</c:v>
                </c:pt>
                <c:pt idx="86">
                  <c:v>90.74</c:v>
                </c:pt>
                <c:pt idx="87">
                  <c:v>68.819999999999993</c:v>
                </c:pt>
                <c:pt idx="88">
                  <c:v>102.27</c:v>
                </c:pt>
                <c:pt idx="89">
                  <c:v>111.31</c:v>
                </c:pt>
                <c:pt idx="90">
                  <c:v>303.32</c:v>
                </c:pt>
                <c:pt idx="91">
                  <c:v>144.97</c:v>
                </c:pt>
                <c:pt idx="92">
                  <c:v>116.85</c:v>
                </c:pt>
                <c:pt idx="93">
                  <c:v>130.66999999999999</c:v>
                </c:pt>
                <c:pt idx="94">
                  <c:v>101.15</c:v>
                </c:pt>
                <c:pt idx="95">
                  <c:v>169.08</c:v>
                </c:pt>
                <c:pt idx="96">
                  <c:v>236.27</c:v>
                </c:pt>
                <c:pt idx="97">
                  <c:v>94.38</c:v>
                </c:pt>
                <c:pt idx="98">
                  <c:v>89.01</c:v>
                </c:pt>
                <c:pt idx="99">
                  <c:v>401.22</c:v>
                </c:pt>
                <c:pt idx="100">
                  <c:v>79.540000000000006</c:v>
                </c:pt>
                <c:pt idx="101">
                  <c:v>75.14</c:v>
                </c:pt>
                <c:pt idx="102">
                  <c:v>82.23</c:v>
                </c:pt>
                <c:pt idx="103">
                  <c:v>79.31</c:v>
                </c:pt>
                <c:pt idx="104">
                  <c:v>85.05</c:v>
                </c:pt>
                <c:pt idx="105">
                  <c:v>50.82</c:v>
                </c:pt>
                <c:pt idx="106">
                  <c:v>37.71</c:v>
                </c:pt>
                <c:pt idx="107">
                  <c:v>91.9</c:v>
                </c:pt>
                <c:pt idx="108">
                  <c:v>47.55</c:v>
                </c:pt>
                <c:pt idx="109">
                  <c:v>221.4</c:v>
                </c:pt>
                <c:pt idx="110">
                  <c:v>142.36000000000001</c:v>
                </c:pt>
                <c:pt idx="111">
                  <c:v>56.61</c:v>
                </c:pt>
                <c:pt idx="112">
                  <c:v>43.28</c:v>
                </c:pt>
                <c:pt idx="113">
                  <c:v>47.92</c:v>
                </c:pt>
                <c:pt idx="114">
                  <c:v>149.84</c:v>
                </c:pt>
                <c:pt idx="115">
                  <c:v>52.54</c:v>
                </c:pt>
                <c:pt idx="116">
                  <c:v>130.63999999999999</c:v>
                </c:pt>
                <c:pt idx="117">
                  <c:v>52.92</c:v>
                </c:pt>
                <c:pt idx="118">
                  <c:v>116.3</c:v>
                </c:pt>
                <c:pt idx="119">
                  <c:v>94.2</c:v>
                </c:pt>
                <c:pt idx="120">
                  <c:v>220.29</c:v>
                </c:pt>
                <c:pt idx="121">
                  <c:v>119.65</c:v>
                </c:pt>
                <c:pt idx="122">
                  <c:v>127.36</c:v>
                </c:pt>
                <c:pt idx="123">
                  <c:v>31.48</c:v>
                </c:pt>
                <c:pt idx="124">
                  <c:v>81.900000000000006</c:v>
                </c:pt>
                <c:pt idx="125">
                  <c:v>76.78</c:v>
                </c:pt>
                <c:pt idx="126">
                  <c:v>120.9</c:v>
                </c:pt>
                <c:pt idx="127">
                  <c:v>67.400000000000006</c:v>
                </c:pt>
                <c:pt idx="128">
                  <c:v>27.43</c:v>
                </c:pt>
                <c:pt idx="129">
                  <c:v>131.49</c:v>
                </c:pt>
                <c:pt idx="130">
                  <c:v>99.74</c:v>
                </c:pt>
                <c:pt idx="131">
                  <c:v>69.319999999999993</c:v>
                </c:pt>
                <c:pt idx="132">
                  <c:v>77.23</c:v>
                </c:pt>
                <c:pt idx="133">
                  <c:v>43.02</c:v>
                </c:pt>
                <c:pt idx="134">
                  <c:v>107.03</c:v>
                </c:pt>
                <c:pt idx="135">
                  <c:v>55.34</c:v>
                </c:pt>
                <c:pt idx="136">
                  <c:v>152.54</c:v>
                </c:pt>
                <c:pt idx="137">
                  <c:v>144.88999999999999</c:v>
                </c:pt>
                <c:pt idx="138">
                  <c:v>190.98</c:v>
                </c:pt>
                <c:pt idx="139">
                  <c:v>46.86</c:v>
                </c:pt>
                <c:pt idx="140">
                  <c:v>109.59</c:v>
                </c:pt>
                <c:pt idx="141">
                  <c:v>26.01</c:v>
                </c:pt>
                <c:pt idx="142">
                  <c:v>44.11</c:v>
                </c:pt>
                <c:pt idx="143">
                  <c:v>92.6</c:v>
                </c:pt>
                <c:pt idx="144">
                  <c:v>199.6</c:v>
                </c:pt>
                <c:pt idx="145">
                  <c:v>114.45</c:v>
                </c:pt>
                <c:pt idx="146">
                  <c:v>173.33</c:v>
                </c:pt>
                <c:pt idx="147">
                  <c:v>45.13</c:v>
                </c:pt>
                <c:pt idx="148">
                  <c:v>86.6</c:v>
                </c:pt>
                <c:pt idx="149">
                  <c:v>316.69</c:v>
                </c:pt>
                <c:pt idx="150">
                  <c:v>51.61</c:v>
                </c:pt>
                <c:pt idx="151">
                  <c:v>86.66</c:v>
                </c:pt>
                <c:pt idx="152">
                  <c:v>102.09</c:v>
                </c:pt>
                <c:pt idx="153">
                  <c:v>130.81</c:v>
                </c:pt>
                <c:pt idx="154">
                  <c:v>104.21</c:v>
                </c:pt>
                <c:pt idx="155">
                  <c:v>63.65</c:v>
                </c:pt>
                <c:pt idx="156">
                  <c:v>128.63</c:v>
                </c:pt>
                <c:pt idx="157">
                  <c:v>62.01</c:v>
                </c:pt>
                <c:pt idx="158">
                  <c:v>133.72</c:v>
                </c:pt>
                <c:pt idx="159">
                  <c:v>72.64</c:v>
                </c:pt>
                <c:pt idx="160">
                  <c:v>68.959999999999994</c:v>
                </c:pt>
                <c:pt idx="161">
                  <c:v>56.17</c:v>
                </c:pt>
                <c:pt idx="162">
                  <c:v>377.78</c:v>
                </c:pt>
                <c:pt idx="163">
                  <c:v>101.08</c:v>
                </c:pt>
                <c:pt idx="164">
                  <c:v>124.87</c:v>
                </c:pt>
                <c:pt idx="165">
                  <c:v>172.73</c:v>
                </c:pt>
                <c:pt idx="166">
                  <c:v>132.49</c:v>
                </c:pt>
                <c:pt idx="167">
                  <c:v>193.98</c:v>
                </c:pt>
                <c:pt idx="168">
                  <c:v>174.69</c:v>
                </c:pt>
                <c:pt idx="169">
                  <c:v>109.59</c:v>
                </c:pt>
                <c:pt idx="170">
                  <c:v>90.04</c:v>
                </c:pt>
                <c:pt idx="171">
                  <c:v>22.58</c:v>
                </c:pt>
                <c:pt idx="172">
                  <c:v>34.340000000000003</c:v>
                </c:pt>
                <c:pt idx="173">
                  <c:v>284.07</c:v>
                </c:pt>
                <c:pt idx="174">
                  <c:v>118.45</c:v>
                </c:pt>
                <c:pt idx="175">
                  <c:v>57.14</c:v>
                </c:pt>
                <c:pt idx="176">
                  <c:v>45.69</c:v>
                </c:pt>
                <c:pt idx="177">
                  <c:v>75.19</c:v>
                </c:pt>
                <c:pt idx="178">
                  <c:v>213.24</c:v>
                </c:pt>
                <c:pt idx="179">
                  <c:v>90.68</c:v>
                </c:pt>
                <c:pt idx="180">
                  <c:v>73.06</c:v>
                </c:pt>
                <c:pt idx="181">
                  <c:v>32.82</c:v>
                </c:pt>
                <c:pt idx="182">
                  <c:v>55.54</c:v>
                </c:pt>
                <c:pt idx="183">
                  <c:v>90.83</c:v>
                </c:pt>
                <c:pt idx="184">
                  <c:v>31.53</c:v>
                </c:pt>
                <c:pt idx="185">
                  <c:v>257.73</c:v>
                </c:pt>
                <c:pt idx="186">
                  <c:v>300.57</c:v>
                </c:pt>
                <c:pt idx="187">
                  <c:v>71.739999999999995</c:v>
                </c:pt>
                <c:pt idx="188">
                  <c:v>83.3</c:v>
                </c:pt>
                <c:pt idx="189">
                  <c:v>80.599999999999994</c:v>
                </c:pt>
                <c:pt idx="190">
                  <c:v>88.79</c:v>
                </c:pt>
                <c:pt idx="191">
                  <c:v>153.37</c:v>
                </c:pt>
                <c:pt idx="192">
                  <c:v>145.66</c:v>
                </c:pt>
                <c:pt idx="193">
                  <c:v>55.53</c:v>
                </c:pt>
                <c:pt idx="194">
                  <c:v>24.51</c:v>
                </c:pt>
                <c:pt idx="195">
                  <c:v>62.33</c:v>
                </c:pt>
                <c:pt idx="196">
                  <c:v>147.88999999999999</c:v>
                </c:pt>
                <c:pt idx="197">
                  <c:v>296.22000000000003</c:v>
                </c:pt>
                <c:pt idx="198">
                  <c:v>69.63</c:v>
                </c:pt>
                <c:pt idx="199">
                  <c:v>80.98</c:v>
                </c:pt>
                <c:pt idx="200">
                  <c:v>94.89</c:v>
                </c:pt>
                <c:pt idx="201">
                  <c:v>99.97</c:v>
                </c:pt>
                <c:pt idx="202">
                  <c:v>456.99</c:v>
                </c:pt>
                <c:pt idx="203">
                  <c:v>300.06</c:v>
                </c:pt>
                <c:pt idx="204">
                  <c:v>64.44</c:v>
                </c:pt>
                <c:pt idx="205">
                  <c:v>88.82</c:v>
                </c:pt>
                <c:pt idx="206">
                  <c:v>27.06</c:v>
                </c:pt>
                <c:pt idx="207">
                  <c:v>78.13</c:v>
                </c:pt>
                <c:pt idx="208">
                  <c:v>74.16</c:v>
                </c:pt>
                <c:pt idx="209">
                  <c:v>257.45999999999998</c:v>
                </c:pt>
                <c:pt idx="210">
                  <c:v>80.45</c:v>
                </c:pt>
                <c:pt idx="211">
                  <c:v>122.19</c:v>
                </c:pt>
                <c:pt idx="212">
                  <c:v>180.4</c:v>
                </c:pt>
                <c:pt idx="213">
                  <c:v>141.51</c:v>
                </c:pt>
                <c:pt idx="214">
                  <c:v>136.58000000000001</c:v>
                </c:pt>
                <c:pt idx="215">
                  <c:v>40</c:v>
                </c:pt>
                <c:pt idx="216">
                  <c:v>104.57</c:v>
                </c:pt>
                <c:pt idx="217">
                  <c:v>156.83000000000001</c:v>
                </c:pt>
                <c:pt idx="218">
                  <c:v>48.22</c:v>
                </c:pt>
                <c:pt idx="219">
                  <c:v>312.64</c:v>
                </c:pt>
                <c:pt idx="220">
                  <c:v>117.91</c:v>
                </c:pt>
                <c:pt idx="221">
                  <c:v>55.69</c:v>
                </c:pt>
                <c:pt idx="222">
                  <c:v>214.52</c:v>
                </c:pt>
                <c:pt idx="223">
                  <c:v>133.80000000000001</c:v>
                </c:pt>
                <c:pt idx="224">
                  <c:v>147.63</c:v>
                </c:pt>
                <c:pt idx="225">
                  <c:v>76.45</c:v>
                </c:pt>
                <c:pt idx="226">
                  <c:v>70.41</c:v>
                </c:pt>
                <c:pt idx="227">
                  <c:v>72.66</c:v>
                </c:pt>
                <c:pt idx="228">
                  <c:v>59.4</c:v>
                </c:pt>
                <c:pt idx="229">
                  <c:v>173.45</c:v>
                </c:pt>
                <c:pt idx="230">
                  <c:v>49.74</c:v>
                </c:pt>
                <c:pt idx="231">
                  <c:v>96.11</c:v>
                </c:pt>
                <c:pt idx="232">
                  <c:v>115.06</c:v>
                </c:pt>
                <c:pt idx="233">
                  <c:v>94.86</c:v>
                </c:pt>
                <c:pt idx="234">
                  <c:v>155.4</c:v>
                </c:pt>
                <c:pt idx="235">
                  <c:v>72.180000000000007</c:v>
                </c:pt>
                <c:pt idx="236">
                  <c:v>94.2</c:v>
                </c:pt>
                <c:pt idx="237">
                  <c:v>30.1</c:v>
                </c:pt>
                <c:pt idx="238">
                  <c:v>149.94999999999999</c:v>
                </c:pt>
                <c:pt idx="239">
                  <c:v>68.86</c:v>
                </c:pt>
                <c:pt idx="240">
                  <c:v>77.16</c:v>
                </c:pt>
                <c:pt idx="241">
                  <c:v>88.91</c:v>
                </c:pt>
                <c:pt idx="242">
                  <c:v>273.64</c:v>
                </c:pt>
                <c:pt idx="243">
                  <c:v>279.57</c:v>
                </c:pt>
                <c:pt idx="244">
                  <c:v>31.14</c:v>
                </c:pt>
                <c:pt idx="245">
                  <c:v>132.97</c:v>
                </c:pt>
                <c:pt idx="246">
                  <c:v>53.05</c:v>
                </c:pt>
                <c:pt idx="247">
                  <c:v>44.15</c:v>
                </c:pt>
                <c:pt idx="248">
                  <c:v>47.47</c:v>
                </c:pt>
                <c:pt idx="249">
                  <c:v>71.02</c:v>
                </c:pt>
                <c:pt idx="250">
                  <c:v>100.46</c:v>
                </c:pt>
                <c:pt idx="251">
                  <c:v>159.13</c:v>
                </c:pt>
                <c:pt idx="252">
                  <c:v>107.49</c:v>
                </c:pt>
                <c:pt idx="253">
                  <c:v>86.3</c:v>
                </c:pt>
                <c:pt idx="254">
                  <c:v>93.43</c:v>
                </c:pt>
                <c:pt idx="255">
                  <c:v>44.9</c:v>
                </c:pt>
                <c:pt idx="256">
                  <c:v>67.569999999999993</c:v>
                </c:pt>
                <c:pt idx="257">
                  <c:v>225.98</c:v>
                </c:pt>
                <c:pt idx="258">
                  <c:v>176.42</c:v>
                </c:pt>
                <c:pt idx="259">
                  <c:v>32.26</c:v>
                </c:pt>
                <c:pt idx="260">
                  <c:v>68.47</c:v>
                </c:pt>
                <c:pt idx="261">
                  <c:v>47.34</c:v>
                </c:pt>
                <c:pt idx="262">
                  <c:v>67.11</c:v>
                </c:pt>
                <c:pt idx="263">
                  <c:v>145.22999999999999</c:v>
                </c:pt>
                <c:pt idx="264">
                  <c:v>101.35</c:v>
                </c:pt>
                <c:pt idx="265">
                  <c:v>25.76</c:v>
                </c:pt>
                <c:pt idx="266">
                  <c:v>88.92</c:v>
                </c:pt>
                <c:pt idx="267">
                  <c:v>106.3</c:v>
                </c:pt>
                <c:pt idx="268">
                  <c:v>139.58000000000001</c:v>
                </c:pt>
                <c:pt idx="269">
                  <c:v>35.520000000000003</c:v>
                </c:pt>
                <c:pt idx="270">
                  <c:v>90.07</c:v>
                </c:pt>
                <c:pt idx="271">
                  <c:v>46.05</c:v>
                </c:pt>
                <c:pt idx="272">
                  <c:v>228.69</c:v>
                </c:pt>
                <c:pt idx="273">
                  <c:v>94.08</c:v>
                </c:pt>
                <c:pt idx="274">
                  <c:v>40.57</c:v>
                </c:pt>
                <c:pt idx="275">
                  <c:v>48.32</c:v>
                </c:pt>
                <c:pt idx="276">
                  <c:v>152.4</c:v>
                </c:pt>
                <c:pt idx="277">
                  <c:v>222.01</c:v>
                </c:pt>
                <c:pt idx="278">
                  <c:v>133.22</c:v>
                </c:pt>
                <c:pt idx="279">
                  <c:v>108.15</c:v>
                </c:pt>
                <c:pt idx="280">
                  <c:v>26.21</c:v>
                </c:pt>
                <c:pt idx="281">
                  <c:v>175.49</c:v>
                </c:pt>
                <c:pt idx="282">
                  <c:v>39.42</c:v>
                </c:pt>
                <c:pt idx="283">
                  <c:v>47.72</c:v>
                </c:pt>
                <c:pt idx="284">
                  <c:v>56.71</c:v>
                </c:pt>
                <c:pt idx="285">
                  <c:v>66.28</c:v>
                </c:pt>
                <c:pt idx="286">
                  <c:v>106.27</c:v>
                </c:pt>
                <c:pt idx="287">
                  <c:v>110.93</c:v>
                </c:pt>
                <c:pt idx="288">
                  <c:v>98.33</c:v>
                </c:pt>
                <c:pt idx="289">
                  <c:v>79.680000000000007</c:v>
                </c:pt>
                <c:pt idx="290">
                  <c:v>78.41</c:v>
                </c:pt>
                <c:pt idx="291">
                  <c:v>91.39</c:v>
                </c:pt>
                <c:pt idx="292">
                  <c:v>315.83999999999997</c:v>
                </c:pt>
                <c:pt idx="293">
                  <c:v>263.14</c:v>
                </c:pt>
                <c:pt idx="294">
                  <c:v>47.29</c:v>
                </c:pt>
                <c:pt idx="295">
                  <c:v>175.94</c:v>
                </c:pt>
                <c:pt idx="296">
                  <c:v>80.13</c:v>
                </c:pt>
                <c:pt idx="297">
                  <c:v>109.03</c:v>
                </c:pt>
                <c:pt idx="298">
                  <c:v>45.39</c:v>
                </c:pt>
                <c:pt idx="299">
                  <c:v>85.38</c:v>
                </c:pt>
                <c:pt idx="300">
                  <c:v>111.97</c:v>
                </c:pt>
                <c:pt idx="301">
                  <c:v>27.36</c:v>
                </c:pt>
                <c:pt idx="302">
                  <c:v>247.81</c:v>
                </c:pt>
                <c:pt idx="303">
                  <c:v>110.66</c:v>
                </c:pt>
                <c:pt idx="304">
                  <c:v>48.9</c:v>
                </c:pt>
                <c:pt idx="305">
                  <c:v>80.900000000000006</c:v>
                </c:pt>
                <c:pt idx="306">
                  <c:v>113.16</c:v>
                </c:pt>
                <c:pt idx="307">
                  <c:v>79.7</c:v>
                </c:pt>
                <c:pt idx="308">
                  <c:v>112.26</c:v>
                </c:pt>
                <c:pt idx="309">
                  <c:v>63.17</c:v>
                </c:pt>
                <c:pt idx="310">
                  <c:v>125.4</c:v>
                </c:pt>
                <c:pt idx="311">
                  <c:v>62.24</c:v>
                </c:pt>
                <c:pt idx="312">
                  <c:v>252.89</c:v>
                </c:pt>
                <c:pt idx="313">
                  <c:v>132.76</c:v>
                </c:pt>
                <c:pt idx="314">
                  <c:v>81.8</c:v>
                </c:pt>
                <c:pt idx="315">
                  <c:v>133.57</c:v>
                </c:pt>
                <c:pt idx="316">
                  <c:v>69.900000000000006</c:v>
                </c:pt>
                <c:pt idx="317">
                  <c:v>249.46</c:v>
                </c:pt>
                <c:pt idx="318">
                  <c:v>367.35</c:v>
                </c:pt>
                <c:pt idx="319">
                  <c:v>76.94</c:v>
                </c:pt>
                <c:pt idx="320">
                  <c:v>151.87</c:v>
                </c:pt>
                <c:pt idx="321">
                  <c:v>168.72</c:v>
                </c:pt>
                <c:pt idx="322">
                  <c:v>238.32</c:v>
                </c:pt>
                <c:pt idx="323">
                  <c:v>95.96</c:v>
                </c:pt>
                <c:pt idx="324">
                  <c:v>90.43</c:v>
                </c:pt>
                <c:pt idx="325">
                  <c:v>46.11</c:v>
                </c:pt>
                <c:pt idx="326">
                  <c:v>118</c:v>
                </c:pt>
                <c:pt idx="327">
                  <c:v>88.74</c:v>
                </c:pt>
                <c:pt idx="328">
                  <c:v>51.59</c:v>
                </c:pt>
                <c:pt idx="329">
                  <c:v>77.61</c:v>
                </c:pt>
                <c:pt idx="330">
                  <c:v>104.04</c:v>
                </c:pt>
                <c:pt idx="331">
                  <c:v>109.64</c:v>
                </c:pt>
                <c:pt idx="332">
                  <c:v>175.95</c:v>
                </c:pt>
                <c:pt idx="333">
                  <c:v>124.67</c:v>
                </c:pt>
                <c:pt idx="334">
                  <c:v>56.35</c:v>
                </c:pt>
                <c:pt idx="335">
                  <c:v>139.34</c:v>
                </c:pt>
                <c:pt idx="336">
                  <c:v>146.62</c:v>
                </c:pt>
                <c:pt idx="337">
                  <c:v>37.229999999999997</c:v>
                </c:pt>
                <c:pt idx="338">
                  <c:v>84.04</c:v>
                </c:pt>
                <c:pt idx="339">
                  <c:v>41.4</c:v>
                </c:pt>
                <c:pt idx="340">
                  <c:v>69.39</c:v>
                </c:pt>
                <c:pt idx="341">
                  <c:v>54.13</c:v>
                </c:pt>
                <c:pt idx="342">
                  <c:v>120.98</c:v>
                </c:pt>
                <c:pt idx="343">
                  <c:v>95.57</c:v>
                </c:pt>
                <c:pt idx="344">
                  <c:v>30.73</c:v>
                </c:pt>
                <c:pt idx="345">
                  <c:v>41.03</c:v>
                </c:pt>
                <c:pt idx="346">
                  <c:v>72.73</c:v>
                </c:pt>
                <c:pt idx="347">
                  <c:v>127.89</c:v>
                </c:pt>
                <c:pt idx="348">
                  <c:v>59.18</c:v>
                </c:pt>
                <c:pt idx="349">
                  <c:v>194.16</c:v>
                </c:pt>
                <c:pt idx="350">
                  <c:v>309.85000000000002</c:v>
                </c:pt>
                <c:pt idx="351">
                  <c:v>321.05</c:v>
                </c:pt>
                <c:pt idx="352">
                  <c:v>87.14</c:v>
                </c:pt>
                <c:pt idx="353">
                  <c:v>147.55000000000001</c:v>
                </c:pt>
                <c:pt idx="354">
                  <c:v>45.25</c:v>
                </c:pt>
                <c:pt idx="355">
                  <c:v>388.12</c:v>
                </c:pt>
                <c:pt idx="356">
                  <c:v>44.96</c:v>
                </c:pt>
                <c:pt idx="357">
                  <c:v>43.68</c:v>
                </c:pt>
                <c:pt idx="358">
                  <c:v>77.66</c:v>
                </c:pt>
                <c:pt idx="359">
                  <c:v>181.69</c:v>
                </c:pt>
              </c:numCache>
            </c:numRef>
          </c:yVal>
          <c:smooth val="0"/>
          <c:extLst>
            <c:ext xmlns:c16="http://schemas.microsoft.com/office/drawing/2014/chart" uri="{C3380CC4-5D6E-409C-BE32-E72D297353CC}">
              <c16:uniqueId val="{00000002-DA70-42E2-B52F-F19A9395FC80}"/>
            </c:ext>
          </c:extLst>
        </c:ser>
        <c:dLbls>
          <c:showLegendKey val="0"/>
          <c:showVal val="0"/>
          <c:showCatName val="0"/>
          <c:showSerName val="0"/>
          <c:showPercent val="0"/>
          <c:showBubbleSize val="0"/>
        </c:dLbls>
        <c:axId val="1287055871"/>
        <c:axId val="1287067391"/>
      </c:scatterChart>
      <c:valAx>
        <c:axId val="1287055871"/>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solidFill>
                      <a:srgbClr val="FFC000"/>
                    </a:solidFill>
                  </a:rPr>
                  <a:t>Monthly Footfal</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7067391"/>
        <c:crosses val="autoZero"/>
        <c:crossBetween val="midCat"/>
      </c:valAx>
      <c:valAx>
        <c:axId val="1287067391"/>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solidFill>
                      <a:schemeClr val="bg1"/>
                    </a:solidFill>
                  </a:rPr>
                  <a:t>Average Spend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70558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[Starbucks_India_Data.xlsx 12.xlsx]Revenue of top cities !PivotTable2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Cities Revenue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of top cities '!$C$4</c:f>
              <c:strCache>
                <c:ptCount val="1"/>
                <c:pt idx="0">
                  <c:v>Total</c:v>
                </c:pt>
              </c:strCache>
            </c:strRef>
          </c:tx>
          <c:spPr>
            <a:solidFill>
              <a:schemeClr val="accent1"/>
            </a:solidFill>
            <a:ln>
              <a:noFill/>
            </a:ln>
            <a:effectLst/>
          </c:spPr>
          <c:invertIfNegative val="0"/>
          <c:cat>
            <c:strRef>
              <c:f>'Revenue of top cities '!$B$5:$B$15</c:f>
              <c:strCache>
                <c:ptCount val="10"/>
                <c:pt idx="0">
                  <c:v>Bangalore</c:v>
                </c:pt>
                <c:pt idx="1">
                  <c:v>Jaipur</c:v>
                </c:pt>
                <c:pt idx="2">
                  <c:v>Chennai</c:v>
                </c:pt>
                <c:pt idx="3">
                  <c:v>Mumbai</c:v>
                </c:pt>
                <c:pt idx="4">
                  <c:v>Delhi</c:v>
                </c:pt>
                <c:pt idx="5">
                  <c:v>Pune</c:v>
                </c:pt>
                <c:pt idx="6">
                  <c:v>Kolkata</c:v>
                </c:pt>
                <c:pt idx="7">
                  <c:v>Hyderabad</c:v>
                </c:pt>
                <c:pt idx="8">
                  <c:v>Chandigarh</c:v>
                </c:pt>
                <c:pt idx="9">
                  <c:v>Ahmedabad</c:v>
                </c:pt>
              </c:strCache>
            </c:strRef>
          </c:cat>
          <c:val>
            <c:numRef>
              <c:f>'Revenue of top cities '!$C$5:$C$15</c:f>
              <c:numCache>
                <c:formatCode>General</c:formatCode>
                <c:ptCount val="10"/>
                <c:pt idx="0">
                  <c:v>34588617</c:v>
                </c:pt>
                <c:pt idx="1">
                  <c:v>33942160</c:v>
                </c:pt>
                <c:pt idx="2">
                  <c:v>33539915</c:v>
                </c:pt>
                <c:pt idx="3">
                  <c:v>33490792</c:v>
                </c:pt>
                <c:pt idx="4">
                  <c:v>31799759</c:v>
                </c:pt>
                <c:pt idx="5">
                  <c:v>31577495</c:v>
                </c:pt>
                <c:pt idx="6">
                  <c:v>30529827</c:v>
                </c:pt>
                <c:pt idx="7">
                  <c:v>30221980</c:v>
                </c:pt>
                <c:pt idx="8">
                  <c:v>30008912</c:v>
                </c:pt>
                <c:pt idx="9">
                  <c:v>29516379</c:v>
                </c:pt>
              </c:numCache>
            </c:numRef>
          </c:val>
          <c:extLst>
            <c:ext xmlns:c16="http://schemas.microsoft.com/office/drawing/2014/chart" uri="{C3380CC4-5D6E-409C-BE32-E72D297353CC}">
              <c16:uniqueId val="{00000000-FBE0-41F7-8C0D-01AACAEAA453}"/>
            </c:ext>
          </c:extLst>
        </c:ser>
        <c:dLbls>
          <c:showLegendKey val="0"/>
          <c:showVal val="0"/>
          <c:showCatName val="0"/>
          <c:showSerName val="0"/>
          <c:showPercent val="0"/>
          <c:showBubbleSize val="0"/>
        </c:dLbls>
        <c:gapWidth val="182"/>
        <c:axId val="1701174208"/>
        <c:axId val="1701154048"/>
      </c:barChart>
      <c:catAx>
        <c:axId val="170117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154048"/>
        <c:crosses val="autoZero"/>
        <c:auto val="1"/>
        <c:lblAlgn val="ctr"/>
        <c:lblOffset val="100"/>
        <c:noMultiLvlLbl val="0"/>
      </c:catAx>
      <c:valAx>
        <c:axId val="1701154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17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[Starbucks_India_Data.xlsx 12.xlsx]Pivot_StoreType_Revenue!PivotTable2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of stores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Pivot_StoreType_Revenue!$E$4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C3A-45C1-AC9E-0347A8E0924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C3A-45C1-AC9E-0347A8E0924D}"/>
              </c:ext>
            </c:extLst>
          </c:dPt>
          <c:cat>
            <c:strRef>
              <c:f>Pivot_StoreType_Revenue!$D$5:$D$7</c:f>
              <c:strCache>
                <c:ptCount val="2"/>
                <c:pt idx="0">
                  <c:v>Company-Owned</c:v>
                </c:pt>
                <c:pt idx="1">
                  <c:v>Licensed</c:v>
                </c:pt>
              </c:strCache>
            </c:strRef>
          </c:cat>
          <c:val>
            <c:numRef>
              <c:f>Pivot_StoreType_Revenue!$E$5:$E$7</c:f>
              <c:numCache>
                <c:formatCode>_("₹"* #,##0.00_);_("₹"* \(#,##0.00\);_("₹"* "-"??_);_(@_)</c:formatCode>
                <c:ptCount val="2"/>
                <c:pt idx="0">
                  <c:v>169058274</c:v>
                </c:pt>
                <c:pt idx="1">
                  <c:v>150157562</c:v>
                </c:pt>
              </c:numCache>
            </c:numRef>
          </c:val>
          <c:extLst>
            <c:ext xmlns:c16="http://schemas.microsoft.com/office/drawing/2014/chart" uri="{C3380CC4-5D6E-409C-BE32-E72D297353CC}">
              <c16:uniqueId val="{00000004-8C3A-45C1-AC9E-0347A8E0924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[Starbucks_India_Data.xlsx 12.xlsx]Pivot_StoreType_Revenue!PivotTable2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of stores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Pivot_StoreType_Revenue!$E$4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Pivot_StoreType_Revenue!$D$5:$D$7</c:f>
              <c:strCache>
                <c:ptCount val="2"/>
                <c:pt idx="0">
                  <c:v>Company-Owned</c:v>
                </c:pt>
                <c:pt idx="1">
                  <c:v>Licensed</c:v>
                </c:pt>
              </c:strCache>
            </c:strRef>
          </c:cat>
          <c:val>
            <c:numRef>
              <c:f>Pivot_StoreType_Revenue!$E$5:$E$7</c:f>
              <c:numCache>
                <c:formatCode>_("₹"* #,##0.00_);_("₹"* \(#,##0.00\);_("₹"* "-"??_);_(@_)</c:formatCode>
                <c:ptCount val="2"/>
                <c:pt idx="0">
                  <c:v>169058274</c:v>
                </c:pt>
                <c:pt idx="1">
                  <c:v>150157562</c:v>
                </c:pt>
              </c:numCache>
            </c:numRef>
          </c:val>
          <c:extLst>
            <c:ext xmlns:c16="http://schemas.microsoft.com/office/drawing/2014/chart" uri="{C3380CC4-5D6E-409C-BE32-E72D297353CC}">
              <c16:uniqueId val="{00000000-F389-442A-891C-6CD4E45D402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solidFill>
                  <a:srgbClr val="FFFF00"/>
                </a:solidFill>
              </a:rPr>
              <a:t>Footfall vs. Avg. Spend per Customer</a:t>
            </a:r>
            <a:endParaRPr lang="en-IN">
              <a:solidFill>
                <a:srgbClr val="FFFF00"/>
              </a:solidFill>
            </a:endParaRPr>
          </a:p>
        </c:rich>
      </c:tx>
      <c:overlay val="0"/>
      <c:spPr>
        <a:solidFill>
          <a:schemeClr val="tx1"/>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manualLayout>
          <c:layoutTarget val="inner"/>
          <c:xMode val="edge"/>
          <c:yMode val="edge"/>
          <c:x val="0.14865048118985127"/>
          <c:y val="0.13467592592592595"/>
          <c:w val="0.80301618547681541"/>
          <c:h val="0.62836431904345291"/>
        </c:manualLayout>
      </c:layout>
      <c:scatterChart>
        <c:scatterStyle val="lineMarker"/>
        <c:varyColors val="0"/>
        <c:ser>
          <c:idx val="0"/>
          <c:order val="0"/>
          <c:tx>
            <c:strRef>
              <c:f>Starbucks_India_Data!$J$1</c:f>
              <c:strCache>
                <c:ptCount val="1"/>
                <c:pt idx="0">
                  <c:v>Avg Spend/Customer (INR)</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linear"/>
            <c:forward val="2"/>
            <c:dispRSqr val="0"/>
            <c:dispEq val="0"/>
          </c:trendline>
          <c:xVal>
            <c:numRef>
              <c:f>Starbucks_India_Data!$I$2:$I$361</c:f>
              <c:numCache>
                <c:formatCode>General</c:formatCode>
                <c:ptCount val="360"/>
                <c:pt idx="0">
                  <c:v>7012</c:v>
                </c:pt>
                <c:pt idx="1">
                  <c:v>4424</c:v>
                </c:pt>
                <c:pt idx="2">
                  <c:v>6582</c:v>
                </c:pt>
                <c:pt idx="3">
                  <c:v>6257</c:v>
                </c:pt>
                <c:pt idx="4">
                  <c:v>6611</c:v>
                </c:pt>
                <c:pt idx="5">
                  <c:v>5615</c:v>
                </c:pt>
                <c:pt idx="6">
                  <c:v>6527</c:v>
                </c:pt>
                <c:pt idx="7">
                  <c:v>9224</c:v>
                </c:pt>
                <c:pt idx="8">
                  <c:v>3711</c:v>
                </c:pt>
                <c:pt idx="9">
                  <c:v>4291</c:v>
                </c:pt>
                <c:pt idx="10">
                  <c:v>12459</c:v>
                </c:pt>
                <c:pt idx="11">
                  <c:v>7741</c:v>
                </c:pt>
                <c:pt idx="12">
                  <c:v>13415</c:v>
                </c:pt>
                <c:pt idx="13">
                  <c:v>6432</c:v>
                </c:pt>
                <c:pt idx="14">
                  <c:v>12980</c:v>
                </c:pt>
                <c:pt idx="15">
                  <c:v>5677</c:v>
                </c:pt>
                <c:pt idx="16">
                  <c:v>6598</c:v>
                </c:pt>
                <c:pt idx="17">
                  <c:v>6752</c:v>
                </c:pt>
                <c:pt idx="18">
                  <c:v>7386</c:v>
                </c:pt>
                <c:pt idx="19">
                  <c:v>14762</c:v>
                </c:pt>
                <c:pt idx="20">
                  <c:v>13532</c:v>
                </c:pt>
                <c:pt idx="21">
                  <c:v>12197</c:v>
                </c:pt>
                <c:pt idx="22">
                  <c:v>12560</c:v>
                </c:pt>
                <c:pt idx="23">
                  <c:v>11348</c:v>
                </c:pt>
                <c:pt idx="24">
                  <c:v>14149</c:v>
                </c:pt>
                <c:pt idx="25">
                  <c:v>12763</c:v>
                </c:pt>
                <c:pt idx="26">
                  <c:v>3188</c:v>
                </c:pt>
                <c:pt idx="27">
                  <c:v>7371</c:v>
                </c:pt>
                <c:pt idx="28">
                  <c:v>10123</c:v>
                </c:pt>
                <c:pt idx="29">
                  <c:v>11201</c:v>
                </c:pt>
                <c:pt idx="30">
                  <c:v>13244</c:v>
                </c:pt>
                <c:pt idx="31">
                  <c:v>5504</c:v>
                </c:pt>
                <c:pt idx="32">
                  <c:v>3009</c:v>
                </c:pt>
                <c:pt idx="33">
                  <c:v>8947</c:v>
                </c:pt>
                <c:pt idx="34">
                  <c:v>6923</c:v>
                </c:pt>
                <c:pt idx="35">
                  <c:v>4403</c:v>
                </c:pt>
                <c:pt idx="36">
                  <c:v>12007</c:v>
                </c:pt>
                <c:pt idx="37">
                  <c:v>6470</c:v>
                </c:pt>
                <c:pt idx="38">
                  <c:v>14680</c:v>
                </c:pt>
                <c:pt idx="39">
                  <c:v>10177</c:v>
                </c:pt>
                <c:pt idx="40">
                  <c:v>6681</c:v>
                </c:pt>
                <c:pt idx="41">
                  <c:v>6770</c:v>
                </c:pt>
                <c:pt idx="42">
                  <c:v>6750</c:v>
                </c:pt>
                <c:pt idx="43">
                  <c:v>4160</c:v>
                </c:pt>
                <c:pt idx="44">
                  <c:v>6510</c:v>
                </c:pt>
                <c:pt idx="45">
                  <c:v>12440</c:v>
                </c:pt>
                <c:pt idx="46">
                  <c:v>6119</c:v>
                </c:pt>
                <c:pt idx="47">
                  <c:v>9939</c:v>
                </c:pt>
                <c:pt idx="48">
                  <c:v>3993</c:v>
                </c:pt>
                <c:pt idx="49">
                  <c:v>7073</c:v>
                </c:pt>
                <c:pt idx="50">
                  <c:v>9912</c:v>
                </c:pt>
                <c:pt idx="51">
                  <c:v>10260</c:v>
                </c:pt>
                <c:pt idx="52">
                  <c:v>3828</c:v>
                </c:pt>
                <c:pt idx="53">
                  <c:v>4528</c:v>
                </c:pt>
                <c:pt idx="54">
                  <c:v>9658</c:v>
                </c:pt>
                <c:pt idx="55">
                  <c:v>3960</c:v>
                </c:pt>
                <c:pt idx="56">
                  <c:v>7345</c:v>
                </c:pt>
                <c:pt idx="57">
                  <c:v>9930</c:v>
                </c:pt>
                <c:pt idx="58">
                  <c:v>13844</c:v>
                </c:pt>
                <c:pt idx="59">
                  <c:v>6566</c:v>
                </c:pt>
                <c:pt idx="60">
                  <c:v>3821</c:v>
                </c:pt>
                <c:pt idx="61">
                  <c:v>5579</c:v>
                </c:pt>
                <c:pt idx="62">
                  <c:v>4122</c:v>
                </c:pt>
                <c:pt idx="63">
                  <c:v>9615</c:v>
                </c:pt>
                <c:pt idx="64">
                  <c:v>12485</c:v>
                </c:pt>
                <c:pt idx="65">
                  <c:v>13770</c:v>
                </c:pt>
                <c:pt idx="66">
                  <c:v>6346</c:v>
                </c:pt>
                <c:pt idx="67">
                  <c:v>9484</c:v>
                </c:pt>
                <c:pt idx="68">
                  <c:v>8180</c:v>
                </c:pt>
                <c:pt idx="69">
                  <c:v>10508</c:v>
                </c:pt>
                <c:pt idx="70">
                  <c:v>4200</c:v>
                </c:pt>
                <c:pt idx="71">
                  <c:v>8718</c:v>
                </c:pt>
                <c:pt idx="72">
                  <c:v>11900</c:v>
                </c:pt>
                <c:pt idx="73">
                  <c:v>3128</c:v>
                </c:pt>
                <c:pt idx="74">
                  <c:v>5200</c:v>
                </c:pt>
                <c:pt idx="75">
                  <c:v>5546</c:v>
                </c:pt>
                <c:pt idx="76">
                  <c:v>6335</c:v>
                </c:pt>
                <c:pt idx="77">
                  <c:v>11004</c:v>
                </c:pt>
                <c:pt idx="78">
                  <c:v>4512</c:v>
                </c:pt>
                <c:pt idx="79">
                  <c:v>3058</c:v>
                </c:pt>
                <c:pt idx="80">
                  <c:v>5647</c:v>
                </c:pt>
                <c:pt idx="81">
                  <c:v>12189</c:v>
                </c:pt>
                <c:pt idx="82">
                  <c:v>11938</c:v>
                </c:pt>
                <c:pt idx="83">
                  <c:v>5426</c:v>
                </c:pt>
                <c:pt idx="84">
                  <c:v>6441</c:v>
                </c:pt>
                <c:pt idx="85">
                  <c:v>12173</c:v>
                </c:pt>
                <c:pt idx="86">
                  <c:v>6878</c:v>
                </c:pt>
                <c:pt idx="87">
                  <c:v>9755</c:v>
                </c:pt>
                <c:pt idx="88">
                  <c:v>9745</c:v>
                </c:pt>
                <c:pt idx="89">
                  <c:v>7371</c:v>
                </c:pt>
                <c:pt idx="90">
                  <c:v>3634</c:v>
                </c:pt>
                <c:pt idx="91">
                  <c:v>8728</c:v>
                </c:pt>
                <c:pt idx="92">
                  <c:v>6652</c:v>
                </c:pt>
                <c:pt idx="93">
                  <c:v>7564</c:v>
                </c:pt>
                <c:pt idx="94">
                  <c:v>8753</c:v>
                </c:pt>
                <c:pt idx="95">
                  <c:v>8425</c:v>
                </c:pt>
                <c:pt idx="96">
                  <c:v>3626</c:v>
                </c:pt>
                <c:pt idx="97">
                  <c:v>10149</c:v>
                </c:pt>
                <c:pt idx="98">
                  <c:v>12446</c:v>
                </c:pt>
                <c:pt idx="99">
                  <c:v>3027</c:v>
                </c:pt>
                <c:pt idx="100">
                  <c:v>8967</c:v>
                </c:pt>
                <c:pt idx="101">
                  <c:v>13209</c:v>
                </c:pt>
                <c:pt idx="102">
                  <c:v>11308</c:v>
                </c:pt>
                <c:pt idx="103">
                  <c:v>14423</c:v>
                </c:pt>
                <c:pt idx="104">
                  <c:v>13894</c:v>
                </c:pt>
                <c:pt idx="105">
                  <c:v>13084</c:v>
                </c:pt>
                <c:pt idx="106">
                  <c:v>7978</c:v>
                </c:pt>
                <c:pt idx="107">
                  <c:v>10618</c:v>
                </c:pt>
                <c:pt idx="108">
                  <c:v>13794</c:v>
                </c:pt>
                <c:pt idx="109">
                  <c:v>4530</c:v>
                </c:pt>
                <c:pt idx="110">
                  <c:v>6680</c:v>
                </c:pt>
                <c:pt idx="111">
                  <c:v>7011</c:v>
                </c:pt>
                <c:pt idx="112">
                  <c:v>10461</c:v>
                </c:pt>
                <c:pt idx="113">
                  <c:v>14769</c:v>
                </c:pt>
                <c:pt idx="114">
                  <c:v>5417</c:v>
                </c:pt>
                <c:pt idx="115">
                  <c:v>9965</c:v>
                </c:pt>
                <c:pt idx="116">
                  <c:v>10611</c:v>
                </c:pt>
                <c:pt idx="117">
                  <c:v>10478</c:v>
                </c:pt>
                <c:pt idx="118">
                  <c:v>12157</c:v>
                </c:pt>
                <c:pt idx="119">
                  <c:v>13037</c:v>
                </c:pt>
                <c:pt idx="120">
                  <c:v>5607</c:v>
                </c:pt>
                <c:pt idx="121">
                  <c:v>7050</c:v>
                </c:pt>
                <c:pt idx="122">
                  <c:v>10939</c:v>
                </c:pt>
                <c:pt idx="123">
                  <c:v>14690</c:v>
                </c:pt>
                <c:pt idx="124">
                  <c:v>11849</c:v>
                </c:pt>
                <c:pt idx="125">
                  <c:v>14369</c:v>
                </c:pt>
                <c:pt idx="126">
                  <c:v>9678</c:v>
                </c:pt>
                <c:pt idx="127">
                  <c:v>6388</c:v>
                </c:pt>
                <c:pt idx="128">
                  <c:v>12432</c:v>
                </c:pt>
                <c:pt idx="129">
                  <c:v>7892</c:v>
                </c:pt>
                <c:pt idx="130">
                  <c:v>11818</c:v>
                </c:pt>
                <c:pt idx="131">
                  <c:v>10999</c:v>
                </c:pt>
                <c:pt idx="132">
                  <c:v>14864</c:v>
                </c:pt>
                <c:pt idx="133">
                  <c:v>13195</c:v>
                </c:pt>
                <c:pt idx="134">
                  <c:v>13862</c:v>
                </c:pt>
                <c:pt idx="135">
                  <c:v>10564</c:v>
                </c:pt>
                <c:pt idx="136">
                  <c:v>6467</c:v>
                </c:pt>
                <c:pt idx="137">
                  <c:v>7558</c:v>
                </c:pt>
                <c:pt idx="138">
                  <c:v>4341</c:v>
                </c:pt>
                <c:pt idx="139">
                  <c:v>8733</c:v>
                </c:pt>
                <c:pt idx="140">
                  <c:v>3508</c:v>
                </c:pt>
                <c:pt idx="141">
                  <c:v>13179</c:v>
                </c:pt>
                <c:pt idx="142">
                  <c:v>12240</c:v>
                </c:pt>
                <c:pt idx="143">
                  <c:v>9043</c:v>
                </c:pt>
                <c:pt idx="144">
                  <c:v>4771</c:v>
                </c:pt>
                <c:pt idx="145">
                  <c:v>9498</c:v>
                </c:pt>
                <c:pt idx="146">
                  <c:v>4669</c:v>
                </c:pt>
                <c:pt idx="147">
                  <c:v>12272</c:v>
                </c:pt>
                <c:pt idx="148">
                  <c:v>13838</c:v>
                </c:pt>
                <c:pt idx="149">
                  <c:v>3207</c:v>
                </c:pt>
                <c:pt idx="150">
                  <c:v>10102</c:v>
                </c:pt>
                <c:pt idx="151">
                  <c:v>14588</c:v>
                </c:pt>
                <c:pt idx="152">
                  <c:v>13657</c:v>
                </c:pt>
                <c:pt idx="153">
                  <c:v>10921</c:v>
                </c:pt>
                <c:pt idx="154">
                  <c:v>8280</c:v>
                </c:pt>
                <c:pt idx="155">
                  <c:v>7569</c:v>
                </c:pt>
                <c:pt idx="156">
                  <c:v>8511</c:v>
                </c:pt>
                <c:pt idx="157">
                  <c:v>10988</c:v>
                </c:pt>
                <c:pt idx="158">
                  <c:v>7581</c:v>
                </c:pt>
                <c:pt idx="159">
                  <c:v>12106</c:v>
                </c:pt>
                <c:pt idx="160">
                  <c:v>6954</c:v>
                </c:pt>
                <c:pt idx="161">
                  <c:v>14314</c:v>
                </c:pt>
                <c:pt idx="162">
                  <c:v>3282</c:v>
                </c:pt>
                <c:pt idx="163">
                  <c:v>8016</c:v>
                </c:pt>
                <c:pt idx="164">
                  <c:v>11698</c:v>
                </c:pt>
                <c:pt idx="165">
                  <c:v>8419</c:v>
                </c:pt>
                <c:pt idx="166">
                  <c:v>7118</c:v>
                </c:pt>
                <c:pt idx="167">
                  <c:v>4958</c:v>
                </c:pt>
                <c:pt idx="168">
                  <c:v>7530</c:v>
                </c:pt>
                <c:pt idx="169">
                  <c:v>12777</c:v>
                </c:pt>
                <c:pt idx="170">
                  <c:v>7853</c:v>
                </c:pt>
                <c:pt idx="171">
                  <c:v>14600</c:v>
                </c:pt>
                <c:pt idx="172">
                  <c:v>12066</c:v>
                </c:pt>
                <c:pt idx="173">
                  <c:v>4680</c:v>
                </c:pt>
                <c:pt idx="174">
                  <c:v>10843</c:v>
                </c:pt>
                <c:pt idx="175">
                  <c:v>7136</c:v>
                </c:pt>
                <c:pt idx="176">
                  <c:v>9565</c:v>
                </c:pt>
                <c:pt idx="177">
                  <c:v>5485</c:v>
                </c:pt>
                <c:pt idx="178">
                  <c:v>4395</c:v>
                </c:pt>
                <c:pt idx="179">
                  <c:v>12933</c:v>
                </c:pt>
                <c:pt idx="180">
                  <c:v>12642</c:v>
                </c:pt>
                <c:pt idx="181">
                  <c:v>12988</c:v>
                </c:pt>
                <c:pt idx="182">
                  <c:v>13248</c:v>
                </c:pt>
                <c:pt idx="183">
                  <c:v>6929</c:v>
                </c:pt>
                <c:pt idx="184">
                  <c:v>9693</c:v>
                </c:pt>
                <c:pt idx="185">
                  <c:v>3534</c:v>
                </c:pt>
                <c:pt idx="186">
                  <c:v>4166</c:v>
                </c:pt>
                <c:pt idx="187">
                  <c:v>9965</c:v>
                </c:pt>
                <c:pt idx="188">
                  <c:v>7352</c:v>
                </c:pt>
                <c:pt idx="189">
                  <c:v>8039</c:v>
                </c:pt>
                <c:pt idx="190">
                  <c:v>10195</c:v>
                </c:pt>
                <c:pt idx="191">
                  <c:v>7460</c:v>
                </c:pt>
                <c:pt idx="192">
                  <c:v>8280</c:v>
                </c:pt>
                <c:pt idx="193">
                  <c:v>14047</c:v>
                </c:pt>
                <c:pt idx="194">
                  <c:v>14014</c:v>
                </c:pt>
                <c:pt idx="195">
                  <c:v>10708</c:v>
                </c:pt>
                <c:pt idx="196">
                  <c:v>5973</c:v>
                </c:pt>
                <c:pt idx="197">
                  <c:v>4494</c:v>
                </c:pt>
                <c:pt idx="198">
                  <c:v>13979</c:v>
                </c:pt>
                <c:pt idx="199">
                  <c:v>14365</c:v>
                </c:pt>
                <c:pt idx="200">
                  <c:v>12012</c:v>
                </c:pt>
                <c:pt idx="201">
                  <c:v>8296</c:v>
                </c:pt>
                <c:pt idx="202">
                  <c:v>3018</c:v>
                </c:pt>
                <c:pt idx="203">
                  <c:v>3888</c:v>
                </c:pt>
                <c:pt idx="204">
                  <c:v>6335</c:v>
                </c:pt>
                <c:pt idx="205">
                  <c:v>10178</c:v>
                </c:pt>
                <c:pt idx="206">
                  <c:v>13322</c:v>
                </c:pt>
                <c:pt idx="207">
                  <c:v>8091</c:v>
                </c:pt>
                <c:pt idx="208">
                  <c:v>6681</c:v>
                </c:pt>
                <c:pt idx="209">
                  <c:v>4924</c:v>
                </c:pt>
                <c:pt idx="210">
                  <c:v>11337</c:v>
                </c:pt>
                <c:pt idx="211">
                  <c:v>10736</c:v>
                </c:pt>
                <c:pt idx="212">
                  <c:v>6122</c:v>
                </c:pt>
                <c:pt idx="213">
                  <c:v>4143</c:v>
                </c:pt>
                <c:pt idx="214">
                  <c:v>8568</c:v>
                </c:pt>
                <c:pt idx="215">
                  <c:v>7634</c:v>
                </c:pt>
                <c:pt idx="216">
                  <c:v>11824</c:v>
                </c:pt>
                <c:pt idx="217">
                  <c:v>9180</c:v>
                </c:pt>
                <c:pt idx="218">
                  <c:v>14427</c:v>
                </c:pt>
                <c:pt idx="219">
                  <c:v>3715</c:v>
                </c:pt>
                <c:pt idx="220">
                  <c:v>9325</c:v>
                </c:pt>
                <c:pt idx="221">
                  <c:v>11115</c:v>
                </c:pt>
                <c:pt idx="222">
                  <c:v>4644</c:v>
                </c:pt>
                <c:pt idx="223">
                  <c:v>10486</c:v>
                </c:pt>
                <c:pt idx="224">
                  <c:v>4225</c:v>
                </c:pt>
                <c:pt idx="225">
                  <c:v>13211</c:v>
                </c:pt>
                <c:pt idx="226">
                  <c:v>14048</c:v>
                </c:pt>
                <c:pt idx="227">
                  <c:v>13269</c:v>
                </c:pt>
                <c:pt idx="228">
                  <c:v>13340</c:v>
                </c:pt>
                <c:pt idx="229">
                  <c:v>4480</c:v>
                </c:pt>
                <c:pt idx="230">
                  <c:v>10269</c:v>
                </c:pt>
                <c:pt idx="231">
                  <c:v>3753</c:v>
                </c:pt>
                <c:pt idx="232">
                  <c:v>9141</c:v>
                </c:pt>
                <c:pt idx="233">
                  <c:v>12272</c:v>
                </c:pt>
                <c:pt idx="234">
                  <c:v>4293</c:v>
                </c:pt>
                <c:pt idx="235">
                  <c:v>11153</c:v>
                </c:pt>
                <c:pt idx="236">
                  <c:v>13451</c:v>
                </c:pt>
                <c:pt idx="237">
                  <c:v>10622</c:v>
                </c:pt>
                <c:pt idx="238">
                  <c:v>4210</c:v>
                </c:pt>
                <c:pt idx="239">
                  <c:v>13468</c:v>
                </c:pt>
                <c:pt idx="240">
                  <c:v>9302</c:v>
                </c:pt>
                <c:pt idx="241">
                  <c:v>12370</c:v>
                </c:pt>
                <c:pt idx="242">
                  <c:v>3359</c:v>
                </c:pt>
                <c:pt idx="243">
                  <c:v>3132</c:v>
                </c:pt>
                <c:pt idx="244">
                  <c:v>12935</c:v>
                </c:pt>
                <c:pt idx="245">
                  <c:v>6770</c:v>
                </c:pt>
                <c:pt idx="246">
                  <c:v>13172</c:v>
                </c:pt>
                <c:pt idx="247">
                  <c:v>13293</c:v>
                </c:pt>
                <c:pt idx="248">
                  <c:v>8061</c:v>
                </c:pt>
                <c:pt idx="249">
                  <c:v>14998</c:v>
                </c:pt>
                <c:pt idx="250">
                  <c:v>9807</c:v>
                </c:pt>
                <c:pt idx="251">
                  <c:v>8994</c:v>
                </c:pt>
                <c:pt idx="252">
                  <c:v>8549</c:v>
                </c:pt>
                <c:pt idx="253">
                  <c:v>5306</c:v>
                </c:pt>
                <c:pt idx="254">
                  <c:v>12131</c:v>
                </c:pt>
                <c:pt idx="255">
                  <c:v>7332</c:v>
                </c:pt>
                <c:pt idx="256">
                  <c:v>12577</c:v>
                </c:pt>
                <c:pt idx="257">
                  <c:v>4775</c:v>
                </c:pt>
                <c:pt idx="258">
                  <c:v>8374</c:v>
                </c:pt>
                <c:pt idx="259">
                  <c:v>13410</c:v>
                </c:pt>
                <c:pt idx="260">
                  <c:v>13637</c:v>
                </c:pt>
                <c:pt idx="261">
                  <c:v>7986</c:v>
                </c:pt>
                <c:pt idx="262">
                  <c:v>11807</c:v>
                </c:pt>
                <c:pt idx="263">
                  <c:v>9866</c:v>
                </c:pt>
                <c:pt idx="264">
                  <c:v>13086</c:v>
                </c:pt>
                <c:pt idx="265">
                  <c:v>14309</c:v>
                </c:pt>
                <c:pt idx="266">
                  <c:v>8942</c:v>
                </c:pt>
                <c:pt idx="267">
                  <c:v>13564</c:v>
                </c:pt>
                <c:pt idx="268">
                  <c:v>5001</c:v>
                </c:pt>
                <c:pt idx="269">
                  <c:v>13858</c:v>
                </c:pt>
                <c:pt idx="270">
                  <c:v>3828</c:v>
                </c:pt>
                <c:pt idx="271">
                  <c:v>12250</c:v>
                </c:pt>
                <c:pt idx="272">
                  <c:v>6394</c:v>
                </c:pt>
                <c:pt idx="273">
                  <c:v>8383</c:v>
                </c:pt>
                <c:pt idx="274">
                  <c:v>7542</c:v>
                </c:pt>
                <c:pt idx="275">
                  <c:v>11850</c:v>
                </c:pt>
                <c:pt idx="276">
                  <c:v>6898</c:v>
                </c:pt>
                <c:pt idx="277">
                  <c:v>3858</c:v>
                </c:pt>
                <c:pt idx="278">
                  <c:v>4041</c:v>
                </c:pt>
                <c:pt idx="279">
                  <c:v>12726</c:v>
                </c:pt>
                <c:pt idx="280">
                  <c:v>14915</c:v>
                </c:pt>
                <c:pt idx="281">
                  <c:v>7941</c:v>
                </c:pt>
                <c:pt idx="282">
                  <c:v>10847</c:v>
                </c:pt>
                <c:pt idx="283">
                  <c:v>11032</c:v>
                </c:pt>
                <c:pt idx="284">
                  <c:v>8277</c:v>
                </c:pt>
                <c:pt idx="285">
                  <c:v>13228</c:v>
                </c:pt>
                <c:pt idx="286">
                  <c:v>9240</c:v>
                </c:pt>
                <c:pt idx="287">
                  <c:v>11282</c:v>
                </c:pt>
                <c:pt idx="288">
                  <c:v>14810</c:v>
                </c:pt>
                <c:pt idx="289">
                  <c:v>9779</c:v>
                </c:pt>
                <c:pt idx="290">
                  <c:v>14953</c:v>
                </c:pt>
                <c:pt idx="291">
                  <c:v>9132</c:v>
                </c:pt>
                <c:pt idx="292">
                  <c:v>4099</c:v>
                </c:pt>
                <c:pt idx="293">
                  <c:v>4582</c:v>
                </c:pt>
                <c:pt idx="294">
                  <c:v>12115</c:v>
                </c:pt>
                <c:pt idx="295">
                  <c:v>8400</c:v>
                </c:pt>
                <c:pt idx="296">
                  <c:v>14813</c:v>
                </c:pt>
                <c:pt idx="297">
                  <c:v>8761</c:v>
                </c:pt>
                <c:pt idx="298">
                  <c:v>13759</c:v>
                </c:pt>
                <c:pt idx="299">
                  <c:v>12113</c:v>
                </c:pt>
                <c:pt idx="300">
                  <c:v>13186</c:v>
                </c:pt>
                <c:pt idx="301">
                  <c:v>12977</c:v>
                </c:pt>
                <c:pt idx="302">
                  <c:v>3474</c:v>
                </c:pt>
                <c:pt idx="303">
                  <c:v>8567</c:v>
                </c:pt>
                <c:pt idx="304">
                  <c:v>12278</c:v>
                </c:pt>
                <c:pt idx="305">
                  <c:v>4503</c:v>
                </c:pt>
                <c:pt idx="306">
                  <c:v>10432</c:v>
                </c:pt>
                <c:pt idx="307">
                  <c:v>12299</c:v>
                </c:pt>
                <c:pt idx="308">
                  <c:v>5579</c:v>
                </c:pt>
                <c:pt idx="309">
                  <c:v>7458</c:v>
                </c:pt>
                <c:pt idx="310">
                  <c:v>9785</c:v>
                </c:pt>
                <c:pt idx="311">
                  <c:v>8655</c:v>
                </c:pt>
                <c:pt idx="312">
                  <c:v>3744</c:v>
                </c:pt>
                <c:pt idx="313">
                  <c:v>3125</c:v>
                </c:pt>
                <c:pt idx="314">
                  <c:v>7186</c:v>
                </c:pt>
                <c:pt idx="315">
                  <c:v>10055</c:v>
                </c:pt>
                <c:pt idx="316">
                  <c:v>11196</c:v>
                </c:pt>
                <c:pt idx="317">
                  <c:v>4180</c:v>
                </c:pt>
                <c:pt idx="318">
                  <c:v>3307</c:v>
                </c:pt>
                <c:pt idx="319">
                  <c:v>12433</c:v>
                </c:pt>
                <c:pt idx="320">
                  <c:v>7743</c:v>
                </c:pt>
                <c:pt idx="321">
                  <c:v>5815</c:v>
                </c:pt>
                <c:pt idx="322">
                  <c:v>4443</c:v>
                </c:pt>
                <c:pt idx="323">
                  <c:v>12648</c:v>
                </c:pt>
                <c:pt idx="324">
                  <c:v>8456</c:v>
                </c:pt>
                <c:pt idx="325">
                  <c:v>11693</c:v>
                </c:pt>
                <c:pt idx="326">
                  <c:v>8752</c:v>
                </c:pt>
                <c:pt idx="327">
                  <c:v>6871</c:v>
                </c:pt>
                <c:pt idx="328">
                  <c:v>12869</c:v>
                </c:pt>
                <c:pt idx="329">
                  <c:v>5902</c:v>
                </c:pt>
                <c:pt idx="330">
                  <c:v>12236</c:v>
                </c:pt>
                <c:pt idx="331">
                  <c:v>13534</c:v>
                </c:pt>
                <c:pt idx="332">
                  <c:v>5473</c:v>
                </c:pt>
                <c:pt idx="333">
                  <c:v>7500</c:v>
                </c:pt>
                <c:pt idx="334">
                  <c:v>8085</c:v>
                </c:pt>
                <c:pt idx="335">
                  <c:v>7703</c:v>
                </c:pt>
                <c:pt idx="336">
                  <c:v>9299</c:v>
                </c:pt>
                <c:pt idx="337">
                  <c:v>10368</c:v>
                </c:pt>
                <c:pt idx="338">
                  <c:v>8267</c:v>
                </c:pt>
                <c:pt idx="339">
                  <c:v>10381</c:v>
                </c:pt>
                <c:pt idx="340">
                  <c:v>14703</c:v>
                </c:pt>
                <c:pt idx="341">
                  <c:v>7059</c:v>
                </c:pt>
                <c:pt idx="342">
                  <c:v>11564</c:v>
                </c:pt>
                <c:pt idx="343">
                  <c:v>9347</c:v>
                </c:pt>
                <c:pt idx="344">
                  <c:v>13336</c:v>
                </c:pt>
                <c:pt idx="345">
                  <c:v>12141</c:v>
                </c:pt>
                <c:pt idx="346">
                  <c:v>8461</c:v>
                </c:pt>
                <c:pt idx="347">
                  <c:v>8082</c:v>
                </c:pt>
                <c:pt idx="348">
                  <c:v>8072</c:v>
                </c:pt>
                <c:pt idx="349">
                  <c:v>5093</c:v>
                </c:pt>
                <c:pt idx="350">
                  <c:v>4531</c:v>
                </c:pt>
                <c:pt idx="351">
                  <c:v>3298</c:v>
                </c:pt>
                <c:pt idx="352">
                  <c:v>8598</c:v>
                </c:pt>
                <c:pt idx="353">
                  <c:v>5253</c:v>
                </c:pt>
                <c:pt idx="354">
                  <c:v>11317</c:v>
                </c:pt>
                <c:pt idx="355">
                  <c:v>3618</c:v>
                </c:pt>
                <c:pt idx="356">
                  <c:v>12785</c:v>
                </c:pt>
                <c:pt idx="357">
                  <c:v>14815</c:v>
                </c:pt>
                <c:pt idx="358">
                  <c:v>10277</c:v>
                </c:pt>
                <c:pt idx="359">
                  <c:v>6833</c:v>
                </c:pt>
              </c:numCache>
            </c:numRef>
          </c:xVal>
          <c:yVal>
            <c:numRef>
              <c:f>Starbucks_India_Data!$J$2:$J$361</c:f>
              <c:numCache>
                <c:formatCode>General</c:formatCode>
                <c:ptCount val="360"/>
                <c:pt idx="0">
                  <c:v>125.04</c:v>
                </c:pt>
                <c:pt idx="1">
                  <c:v>326.33999999999997</c:v>
                </c:pt>
                <c:pt idx="2">
                  <c:v>75.430000000000007</c:v>
                </c:pt>
                <c:pt idx="3">
                  <c:v>236.06</c:v>
                </c:pt>
                <c:pt idx="4">
                  <c:v>178.46</c:v>
                </c:pt>
                <c:pt idx="5">
                  <c:v>55.86</c:v>
                </c:pt>
                <c:pt idx="6">
                  <c:v>95.92</c:v>
                </c:pt>
                <c:pt idx="7">
                  <c:v>53.61</c:v>
                </c:pt>
                <c:pt idx="8">
                  <c:v>230.33</c:v>
                </c:pt>
                <c:pt idx="9">
                  <c:v>254.92</c:v>
                </c:pt>
                <c:pt idx="10">
                  <c:v>84.95</c:v>
                </c:pt>
                <c:pt idx="11">
                  <c:v>100.5</c:v>
                </c:pt>
                <c:pt idx="12">
                  <c:v>93.24</c:v>
                </c:pt>
                <c:pt idx="13">
                  <c:v>162.47999999999999</c:v>
                </c:pt>
                <c:pt idx="14">
                  <c:v>34.65</c:v>
                </c:pt>
                <c:pt idx="15">
                  <c:v>143.28</c:v>
                </c:pt>
                <c:pt idx="16">
                  <c:v>222.49</c:v>
                </c:pt>
                <c:pt idx="17">
                  <c:v>61.81</c:v>
                </c:pt>
                <c:pt idx="18">
                  <c:v>154.52000000000001</c:v>
                </c:pt>
                <c:pt idx="19">
                  <c:v>100.9</c:v>
                </c:pt>
                <c:pt idx="20">
                  <c:v>83.48</c:v>
                </c:pt>
                <c:pt idx="21">
                  <c:v>67</c:v>
                </c:pt>
                <c:pt idx="22">
                  <c:v>95.42</c:v>
                </c:pt>
                <c:pt idx="23">
                  <c:v>52</c:v>
                </c:pt>
                <c:pt idx="24">
                  <c:v>44.92</c:v>
                </c:pt>
                <c:pt idx="25">
                  <c:v>86.21</c:v>
                </c:pt>
                <c:pt idx="26">
                  <c:v>458.03</c:v>
                </c:pt>
                <c:pt idx="27">
                  <c:v>193.48</c:v>
                </c:pt>
                <c:pt idx="28">
                  <c:v>90.44</c:v>
                </c:pt>
                <c:pt idx="29">
                  <c:v>76.099999999999994</c:v>
                </c:pt>
                <c:pt idx="30">
                  <c:v>39.5</c:v>
                </c:pt>
                <c:pt idx="31">
                  <c:v>130.30000000000001</c:v>
                </c:pt>
                <c:pt idx="32">
                  <c:v>469.34</c:v>
                </c:pt>
                <c:pt idx="33">
                  <c:v>59.75</c:v>
                </c:pt>
                <c:pt idx="34">
                  <c:v>136.49</c:v>
                </c:pt>
                <c:pt idx="35">
                  <c:v>105.65</c:v>
                </c:pt>
                <c:pt idx="36">
                  <c:v>108</c:v>
                </c:pt>
                <c:pt idx="37">
                  <c:v>183.52</c:v>
                </c:pt>
                <c:pt idx="38">
                  <c:v>49.17</c:v>
                </c:pt>
                <c:pt idx="39">
                  <c:v>106.43</c:v>
                </c:pt>
                <c:pt idx="40">
                  <c:v>122.72</c:v>
                </c:pt>
                <c:pt idx="41">
                  <c:v>215.9</c:v>
                </c:pt>
                <c:pt idx="42">
                  <c:v>62.74</c:v>
                </c:pt>
                <c:pt idx="43">
                  <c:v>238.69</c:v>
                </c:pt>
                <c:pt idx="44">
                  <c:v>202.46</c:v>
                </c:pt>
                <c:pt idx="45">
                  <c:v>120.38</c:v>
                </c:pt>
                <c:pt idx="46">
                  <c:v>188.54</c:v>
                </c:pt>
                <c:pt idx="47">
                  <c:v>104.94</c:v>
                </c:pt>
                <c:pt idx="48">
                  <c:v>126.82</c:v>
                </c:pt>
                <c:pt idx="49">
                  <c:v>74.81</c:v>
                </c:pt>
                <c:pt idx="50">
                  <c:v>59.93</c:v>
                </c:pt>
                <c:pt idx="51">
                  <c:v>44.65</c:v>
                </c:pt>
                <c:pt idx="52">
                  <c:v>132.01</c:v>
                </c:pt>
                <c:pt idx="53">
                  <c:v>73.09</c:v>
                </c:pt>
                <c:pt idx="54">
                  <c:v>67.180000000000007</c:v>
                </c:pt>
                <c:pt idx="55">
                  <c:v>288.14</c:v>
                </c:pt>
                <c:pt idx="56">
                  <c:v>152.32</c:v>
                </c:pt>
                <c:pt idx="57">
                  <c:v>90.45</c:v>
                </c:pt>
                <c:pt idx="58">
                  <c:v>105.86</c:v>
                </c:pt>
                <c:pt idx="59">
                  <c:v>140.46</c:v>
                </c:pt>
                <c:pt idx="60">
                  <c:v>109.89</c:v>
                </c:pt>
                <c:pt idx="61">
                  <c:v>253.42</c:v>
                </c:pt>
                <c:pt idx="62">
                  <c:v>167.32</c:v>
                </c:pt>
                <c:pt idx="63">
                  <c:v>82.5</c:v>
                </c:pt>
                <c:pt idx="64">
                  <c:v>65.39</c:v>
                </c:pt>
                <c:pt idx="65">
                  <c:v>85.63</c:v>
                </c:pt>
                <c:pt idx="66">
                  <c:v>133.44999999999999</c:v>
                </c:pt>
                <c:pt idx="67">
                  <c:v>90.37</c:v>
                </c:pt>
                <c:pt idx="68">
                  <c:v>153.9</c:v>
                </c:pt>
                <c:pt idx="69">
                  <c:v>30.41</c:v>
                </c:pt>
                <c:pt idx="70">
                  <c:v>121.35</c:v>
                </c:pt>
                <c:pt idx="71">
                  <c:v>66.27</c:v>
                </c:pt>
                <c:pt idx="72">
                  <c:v>102.43</c:v>
                </c:pt>
                <c:pt idx="73">
                  <c:v>450.53</c:v>
                </c:pt>
                <c:pt idx="74">
                  <c:v>99.47</c:v>
                </c:pt>
                <c:pt idx="75">
                  <c:v>263.29000000000002</c:v>
                </c:pt>
                <c:pt idx="76">
                  <c:v>160.86000000000001</c:v>
                </c:pt>
                <c:pt idx="77">
                  <c:v>123.58</c:v>
                </c:pt>
                <c:pt idx="78">
                  <c:v>90.1</c:v>
                </c:pt>
                <c:pt idx="79">
                  <c:v>128.34</c:v>
                </c:pt>
                <c:pt idx="80">
                  <c:v>150.41</c:v>
                </c:pt>
                <c:pt idx="81">
                  <c:v>98.2</c:v>
                </c:pt>
                <c:pt idx="82">
                  <c:v>51.31</c:v>
                </c:pt>
                <c:pt idx="83">
                  <c:v>268.83999999999997</c:v>
                </c:pt>
                <c:pt idx="84">
                  <c:v>163.08000000000001</c:v>
                </c:pt>
                <c:pt idx="85">
                  <c:v>85.58</c:v>
                </c:pt>
                <c:pt idx="86">
                  <c:v>90.74</c:v>
                </c:pt>
                <c:pt idx="87">
                  <c:v>68.819999999999993</c:v>
                </c:pt>
                <c:pt idx="88">
                  <c:v>102.27</c:v>
                </c:pt>
                <c:pt idx="89">
                  <c:v>111.31</c:v>
                </c:pt>
                <c:pt idx="90">
                  <c:v>303.32</c:v>
                </c:pt>
                <c:pt idx="91">
                  <c:v>144.97</c:v>
                </c:pt>
                <c:pt idx="92">
                  <c:v>116.85</c:v>
                </c:pt>
                <c:pt idx="93">
                  <c:v>130.66999999999999</c:v>
                </c:pt>
                <c:pt idx="94">
                  <c:v>101.15</c:v>
                </c:pt>
                <c:pt idx="95">
                  <c:v>169.08</c:v>
                </c:pt>
                <c:pt idx="96">
                  <c:v>236.27</c:v>
                </c:pt>
                <c:pt idx="97">
                  <c:v>94.38</c:v>
                </c:pt>
                <c:pt idx="98">
                  <c:v>89.01</c:v>
                </c:pt>
                <c:pt idx="99">
                  <c:v>401.22</c:v>
                </c:pt>
                <c:pt idx="100">
                  <c:v>79.540000000000006</c:v>
                </c:pt>
                <c:pt idx="101">
                  <c:v>75.14</c:v>
                </c:pt>
                <c:pt idx="102">
                  <c:v>82.23</c:v>
                </c:pt>
                <c:pt idx="103">
                  <c:v>79.31</c:v>
                </c:pt>
                <c:pt idx="104">
                  <c:v>85.05</c:v>
                </c:pt>
                <c:pt idx="105">
                  <c:v>50.82</c:v>
                </c:pt>
                <c:pt idx="106">
                  <c:v>37.71</c:v>
                </c:pt>
                <c:pt idx="107">
                  <c:v>91.9</c:v>
                </c:pt>
                <c:pt idx="108">
                  <c:v>47.55</c:v>
                </c:pt>
                <c:pt idx="109">
                  <c:v>221.4</c:v>
                </c:pt>
                <c:pt idx="110">
                  <c:v>142.36000000000001</c:v>
                </c:pt>
                <c:pt idx="111">
                  <c:v>56.61</c:v>
                </c:pt>
                <c:pt idx="112">
                  <c:v>43.28</c:v>
                </c:pt>
                <c:pt idx="113">
                  <c:v>47.92</c:v>
                </c:pt>
                <c:pt idx="114">
                  <c:v>149.84</c:v>
                </c:pt>
                <c:pt idx="115">
                  <c:v>52.54</c:v>
                </c:pt>
                <c:pt idx="116">
                  <c:v>130.63999999999999</c:v>
                </c:pt>
                <c:pt idx="117">
                  <c:v>52.92</c:v>
                </c:pt>
                <c:pt idx="118">
                  <c:v>116.3</c:v>
                </c:pt>
                <c:pt idx="119">
                  <c:v>94.2</c:v>
                </c:pt>
                <c:pt idx="120">
                  <c:v>220.29</c:v>
                </c:pt>
                <c:pt idx="121">
                  <c:v>119.65</c:v>
                </c:pt>
                <c:pt idx="122">
                  <c:v>127.36</c:v>
                </c:pt>
                <c:pt idx="123">
                  <c:v>31.48</c:v>
                </c:pt>
                <c:pt idx="124">
                  <c:v>81.900000000000006</c:v>
                </c:pt>
                <c:pt idx="125">
                  <c:v>76.78</c:v>
                </c:pt>
                <c:pt idx="126">
                  <c:v>120.9</c:v>
                </c:pt>
                <c:pt idx="127">
                  <c:v>67.400000000000006</c:v>
                </c:pt>
                <c:pt idx="128">
                  <c:v>27.43</c:v>
                </c:pt>
                <c:pt idx="129">
                  <c:v>131.49</c:v>
                </c:pt>
                <c:pt idx="130">
                  <c:v>99.74</c:v>
                </c:pt>
                <c:pt idx="131">
                  <c:v>69.319999999999993</c:v>
                </c:pt>
                <c:pt idx="132">
                  <c:v>77.23</c:v>
                </c:pt>
                <c:pt idx="133">
                  <c:v>43.02</c:v>
                </c:pt>
                <c:pt idx="134">
                  <c:v>107.03</c:v>
                </c:pt>
                <c:pt idx="135">
                  <c:v>55.34</c:v>
                </c:pt>
                <c:pt idx="136">
                  <c:v>152.54</c:v>
                </c:pt>
                <c:pt idx="137">
                  <c:v>144.88999999999999</c:v>
                </c:pt>
                <c:pt idx="138">
                  <c:v>190.98</c:v>
                </c:pt>
                <c:pt idx="139">
                  <c:v>46.86</c:v>
                </c:pt>
                <c:pt idx="140">
                  <c:v>109.59</c:v>
                </c:pt>
                <c:pt idx="141">
                  <c:v>26.01</c:v>
                </c:pt>
                <c:pt idx="142">
                  <c:v>44.11</c:v>
                </c:pt>
                <c:pt idx="143">
                  <c:v>92.6</c:v>
                </c:pt>
                <c:pt idx="144">
                  <c:v>199.6</c:v>
                </c:pt>
                <c:pt idx="145">
                  <c:v>114.45</c:v>
                </c:pt>
                <c:pt idx="146">
                  <c:v>173.33</c:v>
                </c:pt>
                <c:pt idx="147">
                  <c:v>45.13</c:v>
                </c:pt>
                <c:pt idx="148">
                  <c:v>86.6</c:v>
                </c:pt>
                <c:pt idx="149">
                  <c:v>316.69</c:v>
                </c:pt>
                <c:pt idx="150">
                  <c:v>51.61</c:v>
                </c:pt>
                <c:pt idx="151">
                  <c:v>86.66</c:v>
                </c:pt>
                <c:pt idx="152">
                  <c:v>102.09</c:v>
                </c:pt>
                <c:pt idx="153">
                  <c:v>130.81</c:v>
                </c:pt>
                <c:pt idx="154">
                  <c:v>104.21</c:v>
                </c:pt>
                <c:pt idx="155">
                  <c:v>63.65</c:v>
                </c:pt>
                <c:pt idx="156">
                  <c:v>128.63</c:v>
                </c:pt>
                <c:pt idx="157">
                  <c:v>62.01</c:v>
                </c:pt>
                <c:pt idx="158">
                  <c:v>133.72</c:v>
                </c:pt>
                <c:pt idx="159">
                  <c:v>72.64</c:v>
                </c:pt>
                <c:pt idx="160">
                  <c:v>68.959999999999994</c:v>
                </c:pt>
                <c:pt idx="161">
                  <c:v>56.17</c:v>
                </c:pt>
                <c:pt idx="162">
                  <c:v>377.78</c:v>
                </c:pt>
                <c:pt idx="163">
                  <c:v>101.08</c:v>
                </c:pt>
                <c:pt idx="164">
                  <c:v>124.87</c:v>
                </c:pt>
                <c:pt idx="165">
                  <c:v>172.73</c:v>
                </c:pt>
                <c:pt idx="166">
                  <c:v>132.49</c:v>
                </c:pt>
                <c:pt idx="167">
                  <c:v>193.98</c:v>
                </c:pt>
                <c:pt idx="168">
                  <c:v>174.69</c:v>
                </c:pt>
                <c:pt idx="169">
                  <c:v>109.59</c:v>
                </c:pt>
                <c:pt idx="170">
                  <c:v>90.04</c:v>
                </c:pt>
                <c:pt idx="171">
                  <c:v>22.58</c:v>
                </c:pt>
                <c:pt idx="172">
                  <c:v>34.340000000000003</c:v>
                </c:pt>
                <c:pt idx="173">
                  <c:v>284.07</c:v>
                </c:pt>
                <c:pt idx="174">
                  <c:v>118.45</c:v>
                </c:pt>
                <c:pt idx="175">
                  <c:v>57.14</c:v>
                </c:pt>
                <c:pt idx="176">
                  <c:v>45.69</c:v>
                </c:pt>
                <c:pt idx="177">
                  <c:v>75.19</c:v>
                </c:pt>
                <c:pt idx="178">
                  <c:v>213.24</c:v>
                </c:pt>
                <c:pt idx="179">
                  <c:v>90.68</c:v>
                </c:pt>
                <c:pt idx="180">
                  <c:v>73.06</c:v>
                </c:pt>
                <c:pt idx="181">
                  <c:v>32.82</c:v>
                </c:pt>
                <c:pt idx="182">
                  <c:v>55.54</c:v>
                </c:pt>
                <c:pt idx="183">
                  <c:v>90.83</c:v>
                </c:pt>
                <c:pt idx="184">
                  <c:v>31.53</c:v>
                </c:pt>
                <c:pt idx="185">
                  <c:v>257.73</c:v>
                </c:pt>
                <c:pt idx="186">
                  <c:v>300.57</c:v>
                </c:pt>
                <c:pt idx="187">
                  <c:v>71.739999999999995</c:v>
                </c:pt>
                <c:pt idx="188">
                  <c:v>83.3</c:v>
                </c:pt>
                <c:pt idx="189">
                  <c:v>80.599999999999994</c:v>
                </c:pt>
                <c:pt idx="190">
                  <c:v>88.79</c:v>
                </c:pt>
                <c:pt idx="191">
                  <c:v>153.37</c:v>
                </c:pt>
                <c:pt idx="192">
                  <c:v>145.66</c:v>
                </c:pt>
                <c:pt idx="193">
                  <c:v>55.53</c:v>
                </c:pt>
                <c:pt idx="194">
                  <c:v>24.51</c:v>
                </c:pt>
                <c:pt idx="195">
                  <c:v>62.33</c:v>
                </c:pt>
                <c:pt idx="196">
                  <c:v>147.88999999999999</c:v>
                </c:pt>
                <c:pt idx="197">
                  <c:v>296.22000000000003</c:v>
                </c:pt>
                <c:pt idx="198">
                  <c:v>69.63</c:v>
                </c:pt>
                <c:pt idx="199">
                  <c:v>80.98</c:v>
                </c:pt>
                <c:pt idx="200">
                  <c:v>94.89</c:v>
                </c:pt>
                <c:pt idx="201">
                  <c:v>99.97</c:v>
                </c:pt>
                <c:pt idx="202">
                  <c:v>456.99</c:v>
                </c:pt>
                <c:pt idx="203">
                  <c:v>300.06</c:v>
                </c:pt>
                <c:pt idx="204">
                  <c:v>64.44</c:v>
                </c:pt>
                <c:pt idx="205">
                  <c:v>88.82</c:v>
                </c:pt>
                <c:pt idx="206">
                  <c:v>27.06</c:v>
                </c:pt>
                <c:pt idx="207">
                  <c:v>78.13</c:v>
                </c:pt>
                <c:pt idx="208">
                  <c:v>74.16</c:v>
                </c:pt>
                <c:pt idx="209">
                  <c:v>257.45999999999998</c:v>
                </c:pt>
                <c:pt idx="210">
                  <c:v>80.45</c:v>
                </c:pt>
                <c:pt idx="211">
                  <c:v>122.19</c:v>
                </c:pt>
                <c:pt idx="212">
                  <c:v>180.4</c:v>
                </c:pt>
                <c:pt idx="213">
                  <c:v>141.51</c:v>
                </c:pt>
                <c:pt idx="214">
                  <c:v>136.58000000000001</c:v>
                </c:pt>
                <c:pt idx="215">
                  <c:v>40</c:v>
                </c:pt>
                <c:pt idx="216">
                  <c:v>104.57</c:v>
                </c:pt>
                <c:pt idx="217">
                  <c:v>156.83000000000001</c:v>
                </c:pt>
                <c:pt idx="218">
                  <c:v>48.22</c:v>
                </c:pt>
                <c:pt idx="219">
                  <c:v>312.64</c:v>
                </c:pt>
                <c:pt idx="220">
                  <c:v>117.91</c:v>
                </c:pt>
                <c:pt idx="221">
                  <c:v>55.69</c:v>
                </c:pt>
                <c:pt idx="222">
                  <c:v>214.52</c:v>
                </c:pt>
                <c:pt idx="223">
                  <c:v>133.80000000000001</c:v>
                </c:pt>
                <c:pt idx="224">
                  <c:v>147.63</c:v>
                </c:pt>
                <c:pt idx="225">
                  <c:v>76.45</c:v>
                </c:pt>
                <c:pt idx="226">
                  <c:v>70.41</c:v>
                </c:pt>
                <c:pt idx="227">
                  <c:v>72.66</c:v>
                </c:pt>
                <c:pt idx="228">
                  <c:v>59.4</c:v>
                </c:pt>
                <c:pt idx="229">
                  <c:v>173.45</c:v>
                </c:pt>
                <c:pt idx="230">
                  <c:v>49.74</c:v>
                </c:pt>
                <c:pt idx="231">
                  <c:v>96.11</c:v>
                </c:pt>
                <c:pt idx="232">
                  <c:v>115.06</c:v>
                </c:pt>
                <c:pt idx="233">
                  <c:v>94.86</c:v>
                </c:pt>
                <c:pt idx="234">
                  <c:v>155.4</c:v>
                </c:pt>
                <c:pt idx="235">
                  <c:v>72.180000000000007</c:v>
                </c:pt>
                <c:pt idx="236">
                  <c:v>94.2</c:v>
                </c:pt>
                <c:pt idx="237">
                  <c:v>30.1</c:v>
                </c:pt>
                <c:pt idx="238">
                  <c:v>149.94999999999999</c:v>
                </c:pt>
                <c:pt idx="239">
                  <c:v>68.86</c:v>
                </c:pt>
                <c:pt idx="240">
                  <c:v>77.16</c:v>
                </c:pt>
                <c:pt idx="241">
                  <c:v>88.91</c:v>
                </c:pt>
                <c:pt idx="242">
                  <c:v>273.64</c:v>
                </c:pt>
                <c:pt idx="243">
                  <c:v>279.57</c:v>
                </c:pt>
                <c:pt idx="244">
                  <c:v>31.14</c:v>
                </c:pt>
                <c:pt idx="245">
                  <c:v>132.97</c:v>
                </c:pt>
                <c:pt idx="246">
                  <c:v>53.05</c:v>
                </c:pt>
                <c:pt idx="247">
                  <c:v>44.15</c:v>
                </c:pt>
                <c:pt idx="248">
                  <c:v>47.47</c:v>
                </c:pt>
                <c:pt idx="249">
                  <c:v>71.02</c:v>
                </c:pt>
                <c:pt idx="250">
                  <c:v>100.46</c:v>
                </c:pt>
                <c:pt idx="251">
                  <c:v>159.13</c:v>
                </c:pt>
                <c:pt idx="252">
                  <c:v>107.49</c:v>
                </c:pt>
                <c:pt idx="253">
                  <c:v>86.3</c:v>
                </c:pt>
                <c:pt idx="254">
                  <c:v>93.43</c:v>
                </c:pt>
                <c:pt idx="255">
                  <c:v>44.9</c:v>
                </c:pt>
                <c:pt idx="256">
                  <c:v>67.569999999999993</c:v>
                </c:pt>
                <c:pt idx="257">
                  <c:v>225.98</c:v>
                </c:pt>
                <c:pt idx="258">
                  <c:v>176.42</c:v>
                </c:pt>
                <c:pt idx="259">
                  <c:v>32.26</c:v>
                </c:pt>
                <c:pt idx="260">
                  <c:v>68.47</c:v>
                </c:pt>
                <c:pt idx="261">
                  <c:v>47.34</c:v>
                </c:pt>
                <c:pt idx="262">
                  <c:v>67.11</c:v>
                </c:pt>
                <c:pt idx="263">
                  <c:v>145.22999999999999</c:v>
                </c:pt>
                <c:pt idx="264">
                  <c:v>101.35</c:v>
                </c:pt>
                <c:pt idx="265">
                  <c:v>25.76</c:v>
                </c:pt>
                <c:pt idx="266">
                  <c:v>88.92</c:v>
                </c:pt>
                <c:pt idx="267">
                  <c:v>106.3</c:v>
                </c:pt>
                <c:pt idx="268">
                  <c:v>139.58000000000001</c:v>
                </c:pt>
                <c:pt idx="269">
                  <c:v>35.520000000000003</c:v>
                </c:pt>
                <c:pt idx="270">
                  <c:v>90.07</c:v>
                </c:pt>
                <c:pt idx="271">
                  <c:v>46.05</c:v>
                </c:pt>
                <c:pt idx="272">
                  <c:v>228.69</c:v>
                </c:pt>
                <c:pt idx="273">
                  <c:v>94.08</c:v>
                </c:pt>
                <c:pt idx="274">
                  <c:v>40.57</c:v>
                </c:pt>
                <c:pt idx="275">
                  <c:v>48.32</c:v>
                </c:pt>
                <c:pt idx="276">
                  <c:v>152.4</c:v>
                </c:pt>
                <c:pt idx="277">
                  <c:v>222.01</c:v>
                </c:pt>
                <c:pt idx="278">
                  <c:v>133.22</c:v>
                </c:pt>
                <c:pt idx="279">
                  <c:v>108.15</c:v>
                </c:pt>
                <c:pt idx="280">
                  <c:v>26.21</c:v>
                </c:pt>
                <c:pt idx="281">
                  <c:v>175.49</c:v>
                </c:pt>
                <c:pt idx="282">
                  <c:v>39.42</c:v>
                </c:pt>
                <c:pt idx="283">
                  <c:v>47.72</c:v>
                </c:pt>
                <c:pt idx="284">
                  <c:v>56.71</c:v>
                </c:pt>
                <c:pt idx="285">
                  <c:v>66.28</c:v>
                </c:pt>
                <c:pt idx="286">
                  <c:v>106.27</c:v>
                </c:pt>
                <c:pt idx="287">
                  <c:v>110.93</c:v>
                </c:pt>
                <c:pt idx="288">
                  <c:v>98.33</c:v>
                </c:pt>
                <c:pt idx="289">
                  <c:v>79.680000000000007</c:v>
                </c:pt>
                <c:pt idx="290">
                  <c:v>78.41</c:v>
                </c:pt>
                <c:pt idx="291">
                  <c:v>91.39</c:v>
                </c:pt>
                <c:pt idx="292">
                  <c:v>315.83999999999997</c:v>
                </c:pt>
                <c:pt idx="293">
                  <c:v>263.14</c:v>
                </c:pt>
                <c:pt idx="294">
                  <c:v>47.29</c:v>
                </c:pt>
                <c:pt idx="295">
                  <c:v>175.94</c:v>
                </c:pt>
                <c:pt idx="296">
                  <c:v>80.13</c:v>
                </c:pt>
                <c:pt idx="297">
                  <c:v>109.03</c:v>
                </c:pt>
                <c:pt idx="298">
                  <c:v>45.39</c:v>
                </c:pt>
                <c:pt idx="299">
                  <c:v>85.38</c:v>
                </c:pt>
                <c:pt idx="300">
                  <c:v>111.97</c:v>
                </c:pt>
                <c:pt idx="301">
                  <c:v>27.36</c:v>
                </c:pt>
                <c:pt idx="302">
                  <c:v>247.81</c:v>
                </c:pt>
                <c:pt idx="303">
                  <c:v>110.66</c:v>
                </c:pt>
                <c:pt idx="304">
                  <c:v>48.9</c:v>
                </c:pt>
                <c:pt idx="305">
                  <c:v>80.900000000000006</c:v>
                </c:pt>
                <c:pt idx="306">
                  <c:v>113.16</c:v>
                </c:pt>
                <c:pt idx="307">
                  <c:v>79.7</c:v>
                </c:pt>
                <c:pt idx="308">
                  <c:v>112.26</c:v>
                </c:pt>
                <c:pt idx="309">
                  <c:v>63.17</c:v>
                </c:pt>
                <c:pt idx="310">
                  <c:v>125.4</c:v>
                </c:pt>
                <c:pt idx="311">
                  <c:v>62.24</c:v>
                </c:pt>
                <c:pt idx="312">
                  <c:v>252.89</c:v>
                </c:pt>
                <c:pt idx="313">
                  <c:v>132.76</c:v>
                </c:pt>
                <c:pt idx="314">
                  <c:v>81.8</c:v>
                </c:pt>
                <c:pt idx="315">
                  <c:v>133.57</c:v>
                </c:pt>
                <c:pt idx="316">
                  <c:v>69.900000000000006</c:v>
                </c:pt>
                <c:pt idx="317">
                  <c:v>249.46</c:v>
                </c:pt>
                <c:pt idx="318">
                  <c:v>367.35</c:v>
                </c:pt>
                <c:pt idx="319">
                  <c:v>76.94</c:v>
                </c:pt>
                <c:pt idx="320">
                  <c:v>151.87</c:v>
                </c:pt>
                <c:pt idx="321">
                  <c:v>168.72</c:v>
                </c:pt>
                <c:pt idx="322">
                  <c:v>238.32</c:v>
                </c:pt>
                <c:pt idx="323">
                  <c:v>95.96</c:v>
                </c:pt>
                <c:pt idx="324">
                  <c:v>90.43</c:v>
                </c:pt>
                <c:pt idx="325">
                  <c:v>46.11</c:v>
                </c:pt>
                <c:pt idx="326">
                  <c:v>118</c:v>
                </c:pt>
                <c:pt idx="327">
                  <c:v>88.74</c:v>
                </c:pt>
                <c:pt idx="328">
                  <c:v>51.59</c:v>
                </c:pt>
                <c:pt idx="329">
                  <c:v>77.61</c:v>
                </c:pt>
                <c:pt idx="330">
                  <c:v>104.04</c:v>
                </c:pt>
                <c:pt idx="331">
                  <c:v>109.64</c:v>
                </c:pt>
                <c:pt idx="332">
                  <c:v>175.95</c:v>
                </c:pt>
                <c:pt idx="333">
                  <c:v>124.67</c:v>
                </c:pt>
                <c:pt idx="334">
                  <c:v>56.35</c:v>
                </c:pt>
                <c:pt idx="335">
                  <c:v>139.34</c:v>
                </c:pt>
                <c:pt idx="336">
                  <c:v>146.62</c:v>
                </c:pt>
                <c:pt idx="337">
                  <c:v>37.229999999999997</c:v>
                </c:pt>
                <c:pt idx="338">
                  <c:v>84.04</c:v>
                </c:pt>
                <c:pt idx="339">
                  <c:v>41.4</c:v>
                </c:pt>
                <c:pt idx="340">
                  <c:v>69.39</c:v>
                </c:pt>
                <c:pt idx="341">
                  <c:v>54.13</c:v>
                </c:pt>
                <c:pt idx="342">
                  <c:v>120.98</c:v>
                </c:pt>
                <c:pt idx="343">
                  <c:v>95.57</c:v>
                </c:pt>
                <c:pt idx="344">
                  <c:v>30.73</c:v>
                </c:pt>
                <c:pt idx="345">
                  <c:v>41.03</c:v>
                </c:pt>
                <c:pt idx="346">
                  <c:v>72.73</c:v>
                </c:pt>
                <c:pt idx="347">
                  <c:v>127.89</c:v>
                </c:pt>
                <c:pt idx="348">
                  <c:v>59.18</c:v>
                </c:pt>
                <c:pt idx="349">
                  <c:v>194.16</c:v>
                </c:pt>
                <c:pt idx="350">
                  <c:v>309.85000000000002</c:v>
                </c:pt>
                <c:pt idx="351">
                  <c:v>321.05</c:v>
                </c:pt>
                <c:pt idx="352">
                  <c:v>87.14</c:v>
                </c:pt>
                <c:pt idx="353">
                  <c:v>147.55000000000001</c:v>
                </c:pt>
                <c:pt idx="354">
                  <c:v>45.25</c:v>
                </c:pt>
                <c:pt idx="355">
                  <c:v>388.12</c:v>
                </c:pt>
                <c:pt idx="356">
                  <c:v>44.96</c:v>
                </c:pt>
                <c:pt idx="357">
                  <c:v>43.68</c:v>
                </c:pt>
                <c:pt idx="358">
                  <c:v>77.66</c:v>
                </c:pt>
                <c:pt idx="359">
                  <c:v>181.69</c:v>
                </c:pt>
              </c:numCache>
            </c:numRef>
          </c:yVal>
          <c:smooth val="0"/>
          <c:extLst>
            <c:ext xmlns:c16="http://schemas.microsoft.com/office/drawing/2014/chart" uri="{C3380CC4-5D6E-409C-BE32-E72D297353CC}">
              <c16:uniqueId val="{00000002-6640-4CFE-883B-29F27D98EE33}"/>
            </c:ext>
          </c:extLst>
        </c:ser>
        <c:dLbls>
          <c:showLegendKey val="0"/>
          <c:showVal val="0"/>
          <c:showCatName val="0"/>
          <c:showSerName val="0"/>
          <c:showPercent val="0"/>
          <c:showBubbleSize val="0"/>
        </c:dLbls>
        <c:axId val="1287055871"/>
        <c:axId val="1287067391"/>
      </c:scatterChart>
      <c:valAx>
        <c:axId val="1287055871"/>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solidFill>
                      <a:srgbClr val="FFC000"/>
                    </a:solidFill>
                  </a:rPr>
                  <a:t>Monthly Footfal</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7067391"/>
        <c:crosses val="autoZero"/>
        <c:crossBetween val="midCat"/>
      </c:valAx>
      <c:valAx>
        <c:axId val="1287067391"/>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solidFill>
                      <a:schemeClr val="bg1"/>
                    </a:solidFill>
                  </a:rPr>
                  <a:t>Average Spend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705587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[Starbucks_India_Data.xlsx 12.xlsx]Monthly Revenue Trends!PivotTable1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Trends'!$C$4</c:f>
              <c:strCache>
                <c:ptCount val="1"/>
                <c:pt idx="0">
                  <c:v>Total</c:v>
                </c:pt>
              </c:strCache>
            </c:strRef>
          </c:tx>
          <c:spPr>
            <a:ln w="28575" cap="rnd">
              <a:solidFill>
                <a:schemeClr val="accent1"/>
              </a:solidFill>
              <a:round/>
            </a:ln>
            <a:effectLst/>
          </c:spPr>
          <c:marker>
            <c:symbol val="none"/>
          </c:marker>
          <c:cat>
            <c:strRef>
              <c:f>'Monthly Revenue Trends'!$B$5:$B$17</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'Monthly Revenue Trends'!$C$5:$C$17</c:f>
              <c:numCache>
                <c:formatCode>General</c:formatCode>
                <c:ptCount val="12"/>
                <c:pt idx="0">
                  <c:v>3555502</c:v>
                </c:pt>
                <c:pt idx="1">
                  <c:v>4366158</c:v>
                </c:pt>
                <c:pt idx="2">
                  <c:v>2917210</c:v>
                </c:pt>
                <c:pt idx="3">
                  <c:v>4077235</c:v>
                </c:pt>
                <c:pt idx="4">
                  <c:v>4615070</c:v>
                </c:pt>
                <c:pt idx="5">
                  <c:v>2747439</c:v>
                </c:pt>
                <c:pt idx="6">
                  <c:v>2957673</c:v>
                </c:pt>
                <c:pt idx="7">
                  <c:v>3506166</c:v>
                </c:pt>
                <c:pt idx="8">
                  <c:v>4663773</c:v>
                </c:pt>
                <c:pt idx="9">
                  <c:v>2765369</c:v>
                </c:pt>
                <c:pt idx="10">
                  <c:v>3833094</c:v>
                </c:pt>
                <c:pt idx="11">
                  <c:v>2760575</c:v>
                </c:pt>
              </c:numCache>
            </c:numRef>
          </c:val>
          <c:smooth val="0"/>
          <c:extLst>
            <c:ext xmlns:c16="http://schemas.microsoft.com/office/drawing/2014/chart" uri="{C3380CC4-5D6E-409C-BE32-E72D297353CC}">
              <c16:uniqueId val="{00000000-46B3-464F-AC74-BFADF6D1BD38}"/>
            </c:ext>
          </c:extLst>
        </c:ser>
        <c:dLbls>
          <c:showLegendKey val="0"/>
          <c:showVal val="0"/>
          <c:showCatName val="0"/>
          <c:showSerName val="0"/>
          <c:showPercent val="0"/>
          <c:showBubbleSize val="0"/>
        </c:dLbls>
        <c:smooth val="0"/>
        <c:axId val="1696393120"/>
        <c:axId val="1696369600"/>
      </c:lineChart>
      <c:catAx>
        <c:axId val="1696393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Months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369600"/>
        <c:crosses val="autoZero"/>
        <c:auto val="1"/>
        <c:lblAlgn val="ctr"/>
        <c:lblOffset val="100"/>
        <c:noMultiLvlLbl val="0"/>
      </c:catAx>
      <c:valAx>
        <c:axId val="1696369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Revenue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39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[Starbucks_India_Data.xlsx 12.xlsx]Revenue of top cities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Cities Revenue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of top cities '!$C$4</c:f>
              <c:strCache>
                <c:ptCount val="1"/>
                <c:pt idx="0">
                  <c:v>Total</c:v>
                </c:pt>
              </c:strCache>
            </c:strRef>
          </c:tx>
          <c:spPr>
            <a:solidFill>
              <a:schemeClr val="accent1"/>
            </a:solidFill>
            <a:ln>
              <a:noFill/>
            </a:ln>
            <a:effectLst/>
          </c:spPr>
          <c:invertIfNegative val="0"/>
          <c:cat>
            <c:strRef>
              <c:f>'Revenue of top cities '!$B$5:$B$15</c:f>
              <c:strCache>
                <c:ptCount val="10"/>
                <c:pt idx="0">
                  <c:v>Bangalore</c:v>
                </c:pt>
                <c:pt idx="1">
                  <c:v>Jaipur</c:v>
                </c:pt>
                <c:pt idx="2">
                  <c:v>Chennai</c:v>
                </c:pt>
                <c:pt idx="3">
                  <c:v>Mumbai</c:v>
                </c:pt>
                <c:pt idx="4">
                  <c:v>Delhi</c:v>
                </c:pt>
                <c:pt idx="5">
                  <c:v>Pune</c:v>
                </c:pt>
                <c:pt idx="6">
                  <c:v>Kolkata</c:v>
                </c:pt>
                <c:pt idx="7">
                  <c:v>Hyderabad</c:v>
                </c:pt>
                <c:pt idx="8">
                  <c:v>Chandigarh</c:v>
                </c:pt>
                <c:pt idx="9">
                  <c:v>Ahmedabad</c:v>
                </c:pt>
              </c:strCache>
            </c:strRef>
          </c:cat>
          <c:val>
            <c:numRef>
              <c:f>'Revenue of top cities '!$C$5:$C$15</c:f>
              <c:numCache>
                <c:formatCode>General</c:formatCode>
                <c:ptCount val="10"/>
                <c:pt idx="0">
                  <c:v>34588617</c:v>
                </c:pt>
                <c:pt idx="1">
                  <c:v>33942160</c:v>
                </c:pt>
                <c:pt idx="2">
                  <c:v>33539915</c:v>
                </c:pt>
                <c:pt idx="3">
                  <c:v>33490792</c:v>
                </c:pt>
                <c:pt idx="4">
                  <c:v>31799759</c:v>
                </c:pt>
                <c:pt idx="5">
                  <c:v>31577495</c:v>
                </c:pt>
                <c:pt idx="6">
                  <c:v>30529827</c:v>
                </c:pt>
                <c:pt idx="7">
                  <c:v>30221980</c:v>
                </c:pt>
                <c:pt idx="8">
                  <c:v>30008912</c:v>
                </c:pt>
                <c:pt idx="9">
                  <c:v>29516379</c:v>
                </c:pt>
              </c:numCache>
            </c:numRef>
          </c:val>
          <c:extLst>
            <c:ext xmlns:c16="http://schemas.microsoft.com/office/drawing/2014/chart" uri="{C3380CC4-5D6E-409C-BE32-E72D297353CC}">
              <c16:uniqueId val="{00000000-BC1E-400D-870B-1F7547398880}"/>
            </c:ext>
          </c:extLst>
        </c:ser>
        <c:dLbls>
          <c:showLegendKey val="0"/>
          <c:showVal val="0"/>
          <c:showCatName val="0"/>
          <c:showSerName val="0"/>
          <c:showPercent val="0"/>
          <c:showBubbleSize val="0"/>
        </c:dLbls>
        <c:gapWidth val="182"/>
        <c:axId val="1701174208"/>
        <c:axId val="1701154048"/>
      </c:barChart>
      <c:catAx>
        <c:axId val="170117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154048"/>
        <c:crosses val="autoZero"/>
        <c:auto val="1"/>
        <c:lblAlgn val="ctr"/>
        <c:lblOffset val="100"/>
        <c:noMultiLvlLbl val="0"/>
      </c:catAx>
      <c:valAx>
        <c:axId val="1701154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17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327660</xdr:colOff>
      <xdr:row>9</xdr:row>
      <xdr:rowOff>312420</xdr:rowOff>
    </xdr:from>
    <xdr:to>
      <xdr:col>8</xdr:col>
      <xdr:colOff>381000</xdr:colOff>
      <xdr:row>17</xdr:row>
      <xdr:rowOff>175260</xdr:rowOff>
    </xdr:to>
    <xdr:sp macro="" textlink="">
      <xdr:nvSpPr>
        <xdr:cNvPr id="7" name="Rectangle 6">
          <a:extLst>
            <a:ext uri="{FF2B5EF4-FFF2-40B4-BE49-F238E27FC236}">
              <a16:creationId xmlns:a16="http://schemas.microsoft.com/office/drawing/2014/main" id="{28238FB1-6C9B-4391-8B3E-428B8D2C5809}"/>
            </a:ext>
          </a:extLst>
        </xdr:cNvPr>
        <xdr:cNvSpPr/>
      </xdr:nvSpPr>
      <xdr:spPr>
        <a:xfrm>
          <a:off x="5844540" y="1958340"/>
          <a:ext cx="1272540" cy="2209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335280</xdr:colOff>
      <xdr:row>9</xdr:row>
      <xdr:rowOff>312420</xdr:rowOff>
    </xdr:from>
    <xdr:to>
      <xdr:col>6</xdr:col>
      <xdr:colOff>0</xdr:colOff>
      <xdr:row>17</xdr:row>
      <xdr:rowOff>121920</xdr:rowOff>
    </xdr:to>
    <xdr:sp macro="" textlink="">
      <xdr:nvSpPr>
        <xdr:cNvPr id="6" name="Rectangle 5">
          <a:extLst>
            <a:ext uri="{FF2B5EF4-FFF2-40B4-BE49-F238E27FC236}">
              <a16:creationId xmlns:a16="http://schemas.microsoft.com/office/drawing/2014/main" id="{EE3A1060-BD1D-08DB-05FA-6CBD0838C212}"/>
            </a:ext>
          </a:extLst>
        </xdr:cNvPr>
        <xdr:cNvSpPr/>
      </xdr:nvSpPr>
      <xdr:spPr>
        <a:xfrm>
          <a:off x="4023360" y="1958340"/>
          <a:ext cx="1493520" cy="2156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23</xdr:col>
      <xdr:colOff>350520</xdr:colOff>
      <xdr:row>4</xdr:row>
      <xdr:rowOff>7620</xdr:rowOff>
    </xdr:to>
    <xdr:sp macro="" textlink="">
      <xdr:nvSpPr>
        <xdr:cNvPr id="2" name="TextBox 1">
          <a:extLst>
            <a:ext uri="{FF2B5EF4-FFF2-40B4-BE49-F238E27FC236}">
              <a16:creationId xmlns:a16="http://schemas.microsoft.com/office/drawing/2014/main" id="{A25A65D7-8B07-52A7-935F-E635A88B584A}"/>
            </a:ext>
          </a:extLst>
        </xdr:cNvPr>
        <xdr:cNvSpPr txBox="1"/>
      </xdr:nvSpPr>
      <xdr:spPr>
        <a:xfrm>
          <a:off x="0" y="0"/>
          <a:ext cx="14371320" cy="73914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solidFill>
                <a:schemeClr val="bg1"/>
              </a:solidFill>
            </a:rPr>
            <a:t>                               Starbucks India Sales Dashboard</a:t>
          </a:r>
        </a:p>
      </xdr:txBody>
    </xdr:sp>
    <xdr:clientData/>
  </xdr:twoCellAnchor>
  <xdr:twoCellAnchor>
    <xdr:from>
      <xdr:col>9</xdr:col>
      <xdr:colOff>38100</xdr:colOff>
      <xdr:row>9</xdr:row>
      <xdr:rowOff>121920</xdr:rowOff>
    </xdr:from>
    <xdr:to>
      <xdr:col>16</xdr:col>
      <xdr:colOff>342900</xdr:colOff>
      <xdr:row>19</xdr:row>
      <xdr:rowOff>152400</xdr:rowOff>
    </xdr:to>
    <xdr:graphicFrame macro="">
      <xdr:nvGraphicFramePr>
        <xdr:cNvPr id="3" name="Chart 2">
          <a:extLst>
            <a:ext uri="{FF2B5EF4-FFF2-40B4-BE49-F238E27FC236}">
              <a16:creationId xmlns:a16="http://schemas.microsoft.com/office/drawing/2014/main" id="{1A890293-B0D5-4AE0-A52C-1DCA50A7D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342900</xdr:colOff>
      <xdr:row>10</xdr:row>
      <xdr:rowOff>0</xdr:rowOff>
    </xdr:from>
    <xdr:to>
      <xdr:col>8</xdr:col>
      <xdr:colOff>373380</xdr:colOff>
      <xdr:row>17</xdr:row>
      <xdr:rowOff>152400</xdr:rowOff>
    </xdr:to>
    <mc:AlternateContent xmlns:mc="http://schemas.openxmlformats.org/markup-compatibility/2006">
      <mc:Choice xmlns:a14="http://schemas.microsoft.com/office/drawing/2010/main" Requires="a14">
        <xdr:graphicFrame macro="">
          <xdr:nvGraphicFramePr>
            <xdr:cNvPr id="4" name="State 1">
              <a:extLst>
                <a:ext uri="{FF2B5EF4-FFF2-40B4-BE49-F238E27FC236}">
                  <a16:creationId xmlns:a16="http://schemas.microsoft.com/office/drawing/2014/main" id="{D30DAF7D-8689-486C-8734-3CB946F3E3A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5859780" y="2057400"/>
              <a:ext cx="124968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350520</xdr:colOff>
      <xdr:row>10</xdr:row>
      <xdr:rowOff>7620</xdr:rowOff>
    </xdr:from>
    <xdr:to>
      <xdr:col>5</xdr:col>
      <xdr:colOff>586740</xdr:colOff>
      <xdr:row>17</xdr:row>
      <xdr:rowOff>99060</xdr:rowOff>
    </xdr:to>
    <mc:AlternateContent xmlns:mc="http://schemas.openxmlformats.org/markup-compatibility/2006">
      <mc:Choice xmlns:a14="http://schemas.microsoft.com/office/drawing/2010/main" Requires="a14">
        <xdr:graphicFrame macro="">
          <xdr:nvGraphicFramePr>
            <xdr:cNvPr id="5" name="Store Type 1">
              <a:extLst>
                <a:ext uri="{FF2B5EF4-FFF2-40B4-BE49-F238E27FC236}">
                  <a16:creationId xmlns:a16="http://schemas.microsoft.com/office/drawing/2014/main" id="{307CB158-DDAD-41BE-9F3D-36070373E793}"/>
                </a:ext>
              </a:extLst>
            </xdr:cNvPr>
            <xdr:cNvGraphicFramePr/>
          </xdr:nvGraphicFramePr>
          <xdr:xfrm>
            <a:off x="0" y="0"/>
            <a:ext cx="0" cy="0"/>
          </xdr:xfrm>
          <a:graphic>
            <a:graphicData uri="http://schemas.microsoft.com/office/drawing/2010/slicer">
              <sle:slicer xmlns:sle="http://schemas.microsoft.com/office/drawing/2010/slicer" name="Store Type 1"/>
            </a:graphicData>
          </a:graphic>
        </xdr:graphicFrame>
      </mc:Choice>
      <mc:Fallback>
        <xdr:sp macro="" textlink="">
          <xdr:nvSpPr>
            <xdr:cNvPr id="0" name=""/>
            <xdr:cNvSpPr>
              <a:spLocks noTextEdit="1"/>
            </xdr:cNvSpPr>
          </xdr:nvSpPr>
          <xdr:spPr>
            <a:xfrm>
              <a:off x="4038600" y="2065020"/>
              <a:ext cx="1455420" cy="2110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114300</xdr:colOff>
      <xdr:row>22</xdr:row>
      <xdr:rowOff>68580</xdr:rowOff>
    </xdr:from>
    <xdr:to>
      <xdr:col>4</xdr:col>
      <xdr:colOff>487680</xdr:colOff>
      <xdr:row>35</xdr:row>
      <xdr:rowOff>137160</xdr:rowOff>
    </xdr:to>
    <xdr:graphicFrame macro="">
      <xdr:nvGraphicFramePr>
        <xdr:cNvPr id="8" name="Chart 7">
          <a:extLst>
            <a:ext uri="{FF2B5EF4-FFF2-40B4-BE49-F238E27FC236}">
              <a16:creationId xmlns:a16="http://schemas.microsoft.com/office/drawing/2014/main" id="{EF9E56BC-D9D7-48B3-A69F-A4EA68969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320040</xdr:colOff>
      <xdr:row>22</xdr:row>
      <xdr:rowOff>15240</xdr:rowOff>
    </xdr:from>
    <xdr:to>
      <xdr:col>13</xdr:col>
      <xdr:colOff>15240</xdr:colOff>
      <xdr:row>37</xdr:row>
      <xdr:rowOff>15240</xdr:rowOff>
    </xdr:to>
    <xdr:graphicFrame macro="">
      <xdr:nvGraphicFramePr>
        <xdr:cNvPr id="9" name="Chart 8">
          <a:extLst>
            <a:ext uri="{FF2B5EF4-FFF2-40B4-BE49-F238E27FC236}">
              <a16:creationId xmlns:a16="http://schemas.microsoft.com/office/drawing/2014/main" id="{EA68271F-4ADE-4BAD-B01E-5DE479B66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548640</xdr:colOff>
      <xdr:row>24</xdr:row>
      <xdr:rowOff>106680</xdr:rowOff>
    </xdr:from>
    <xdr:to>
      <xdr:col>18</xdr:col>
      <xdr:colOff>929640</xdr:colOff>
      <xdr:row>35</xdr:row>
      <xdr:rowOff>64770</xdr:rowOff>
    </xdr:to>
    <xdr:graphicFrame macro="">
      <xdr:nvGraphicFramePr>
        <xdr:cNvPr id="10" name="Chart 9">
          <a:extLst>
            <a:ext uri="{FF2B5EF4-FFF2-40B4-BE49-F238E27FC236}">
              <a16:creationId xmlns:a16="http://schemas.microsoft.com/office/drawing/2014/main" id="{9E81D2B0-B52E-4F1E-95DA-CCB1A2401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342900</xdr:colOff>
      <xdr:row>20</xdr:row>
      <xdr:rowOff>137160</xdr:rowOff>
    </xdr:from>
    <xdr:to>
      <xdr:col>4</xdr:col>
      <xdr:colOff>495300</xdr:colOff>
      <xdr:row>22</xdr:row>
      <xdr:rowOff>53340</xdr:rowOff>
    </xdr:to>
    <xdr:sp macro="" textlink="">
      <xdr:nvSpPr>
        <xdr:cNvPr id="11" name="TextBox 10">
          <a:extLst>
            <a:ext uri="{FF2B5EF4-FFF2-40B4-BE49-F238E27FC236}">
              <a16:creationId xmlns:a16="http://schemas.microsoft.com/office/drawing/2014/main" id="{1A158147-BE38-343A-5875-53EA476D11C0}"/>
            </a:ext>
          </a:extLst>
        </xdr:cNvPr>
        <xdr:cNvSpPr txBox="1"/>
      </xdr:nvSpPr>
      <xdr:spPr>
        <a:xfrm>
          <a:off x="952500" y="4762500"/>
          <a:ext cx="3840480" cy="28194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 Correlation between average spend per customer and footfall </a:t>
          </a:r>
          <a:endParaRPr lang="en-IN"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0</xdr:rowOff>
    </xdr:from>
    <xdr:to>
      <xdr:col>4</xdr:col>
      <xdr:colOff>0</xdr:colOff>
      <xdr:row>2</xdr:row>
      <xdr:rowOff>160020</xdr:rowOff>
    </xdr:to>
    <xdr:sp macro="" textlink="">
      <xdr:nvSpPr>
        <xdr:cNvPr id="2" name="TextBox 1">
          <a:extLst>
            <a:ext uri="{FF2B5EF4-FFF2-40B4-BE49-F238E27FC236}">
              <a16:creationId xmlns:a16="http://schemas.microsoft.com/office/drawing/2014/main" id="{F3D5D66D-D357-33CD-D36D-A9992614BE40}"/>
            </a:ext>
          </a:extLst>
        </xdr:cNvPr>
        <xdr:cNvSpPr txBox="1"/>
      </xdr:nvSpPr>
      <xdr:spPr>
        <a:xfrm>
          <a:off x="7620" y="0"/>
          <a:ext cx="3429000" cy="525780"/>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Revenue of</a:t>
          </a:r>
          <a:r>
            <a:rPr lang="en-IN" sz="2800" baseline="0"/>
            <a:t> All cities</a:t>
          </a:r>
          <a:endParaRPr lang="en-IN" sz="28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144780</xdr:colOff>
      <xdr:row>0</xdr:row>
      <xdr:rowOff>137160</xdr:rowOff>
    </xdr:from>
    <xdr:to>
      <xdr:col>6</xdr:col>
      <xdr:colOff>190500</xdr:colOff>
      <xdr:row>2</xdr:row>
      <xdr:rowOff>167640</xdr:rowOff>
    </xdr:to>
    <xdr:sp macro="" textlink="">
      <xdr:nvSpPr>
        <xdr:cNvPr id="2" name="TextBox 1">
          <a:extLst>
            <a:ext uri="{FF2B5EF4-FFF2-40B4-BE49-F238E27FC236}">
              <a16:creationId xmlns:a16="http://schemas.microsoft.com/office/drawing/2014/main" id="{59694441-3E9D-0449-8102-60F5E63A0FC3}"/>
            </a:ext>
          </a:extLst>
        </xdr:cNvPr>
        <xdr:cNvSpPr txBox="1"/>
      </xdr:nvSpPr>
      <xdr:spPr>
        <a:xfrm>
          <a:off x="1363980" y="137160"/>
          <a:ext cx="3665220" cy="396240"/>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800"/>
            <a:t>Revenue of Stores</a:t>
          </a:r>
        </a:p>
      </xdr:txBody>
    </xdr:sp>
    <xdr:clientData/>
  </xdr:twoCellAnchor>
  <xdr:twoCellAnchor>
    <xdr:from>
      <xdr:col>6</xdr:col>
      <xdr:colOff>426720</xdr:colOff>
      <xdr:row>0</xdr:row>
      <xdr:rowOff>95250</xdr:rowOff>
    </xdr:from>
    <xdr:to>
      <xdr:col>12</xdr:col>
      <xdr:colOff>449580</xdr:colOff>
      <xdr:row>11</xdr:row>
      <xdr:rowOff>53340</xdr:rowOff>
    </xdr:to>
    <xdr:graphicFrame macro="">
      <xdr:nvGraphicFramePr>
        <xdr:cNvPr id="3" name="Chart 2">
          <a:extLst>
            <a:ext uri="{FF2B5EF4-FFF2-40B4-BE49-F238E27FC236}">
              <a16:creationId xmlns:a16="http://schemas.microsoft.com/office/drawing/2014/main" id="{2A45CE1F-5D61-035C-B9B3-046F3C4AF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53340</xdr:colOff>
      <xdr:row>0</xdr:row>
      <xdr:rowOff>0</xdr:rowOff>
    </xdr:from>
    <xdr:to>
      <xdr:col>7</xdr:col>
      <xdr:colOff>358140</xdr:colOff>
      <xdr:row>15</xdr:row>
      <xdr:rowOff>0</xdr:rowOff>
    </xdr:to>
    <xdr:graphicFrame macro="">
      <xdr:nvGraphicFramePr>
        <xdr:cNvPr id="4" name="Chart 3">
          <a:extLst>
            <a:ext uri="{FF2B5EF4-FFF2-40B4-BE49-F238E27FC236}">
              <a16:creationId xmlns:a16="http://schemas.microsoft.com/office/drawing/2014/main" id="{56538E55-575A-4220-9052-C1CD28CEF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304800</xdr:colOff>
      <xdr:row>2</xdr:row>
      <xdr:rowOff>133350</xdr:rowOff>
    </xdr:from>
    <xdr:to>
      <xdr:col>11</xdr:col>
      <xdr:colOff>0</xdr:colOff>
      <xdr:row>17</xdr:row>
      <xdr:rowOff>133350</xdr:rowOff>
    </xdr:to>
    <xdr:graphicFrame macro="">
      <xdr:nvGraphicFramePr>
        <xdr:cNvPr id="2" name="Chart 1">
          <a:extLst>
            <a:ext uri="{FF2B5EF4-FFF2-40B4-BE49-F238E27FC236}">
              <a16:creationId xmlns:a16="http://schemas.microsoft.com/office/drawing/2014/main" id="{159CA0EE-F583-B3A5-D0DB-4D7BBB370A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381000</xdr:colOff>
      <xdr:row>5</xdr:row>
      <xdr:rowOff>68581</xdr:rowOff>
    </xdr:from>
    <xdr:to>
      <xdr:col>15</xdr:col>
      <xdr:colOff>411480</xdr:colOff>
      <xdr:row>17</xdr:row>
      <xdr:rowOff>45721</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991E38A3-431D-F307-CF82-E12C454DFE5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9304020" y="982981"/>
              <a:ext cx="124968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5</xdr:row>
      <xdr:rowOff>76201</xdr:rowOff>
    </xdr:from>
    <xdr:to>
      <xdr:col>13</xdr:col>
      <xdr:colOff>274320</xdr:colOff>
      <xdr:row>16</xdr:row>
      <xdr:rowOff>175261</xdr:rowOff>
    </xdr:to>
    <mc:AlternateContent xmlns:mc="http://schemas.openxmlformats.org/markup-compatibility/2006">
      <mc:Choice xmlns:a14="http://schemas.microsoft.com/office/drawing/2010/main" Requires="a14">
        <xdr:graphicFrame macro="">
          <xdr:nvGraphicFramePr>
            <xdr:cNvPr id="4" name="Store Type">
              <a:extLst>
                <a:ext uri="{FF2B5EF4-FFF2-40B4-BE49-F238E27FC236}">
                  <a16:creationId xmlns:a16="http://schemas.microsoft.com/office/drawing/2014/main" id="{FACE6113-3F07-4D93-F74C-F5EE2230F26F}"/>
                </a:ext>
              </a:extLst>
            </xdr:cNvPr>
            <xdr:cNvGraphicFramePr/>
          </xdr:nvGraphicFramePr>
          <xdr:xfrm>
            <a:off x="0" y="0"/>
            <a:ext cx="0" cy="0"/>
          </xdr:xfrm>
          <a:graphic>
            <a:graphicData uri="http://schemas.microsoft.com/office/drawing/2010/slicer">
              <sle:slicer xmlns:sle="http://schemas.microsoft.com/office/drawing/2010/slicer" name="Store Type"/>
            </a:graphicData>
          </a:graphic>
        </xdr:graphicFrame>
      </mc:Choice>
      <mc:Fallback>
        <xdr:sp macro="" textlink="">
          <xdr:nvSpPr>
            <xdr:cNvPr id="0" name=""/>
            <xdr:cNvSpPr>
              <a:spLocks noTextEdit="1"/>
            </xdr:cNvSpPr>
          </xdr:nvSpPr>
          <xdr:spPr>
            <a:xfrm>
              <a:off x="7741920" y="990601"/>
              <a:ext cx="1455420" cy="2110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297180</xdr:colOff>
      <xdr:row>2</xdr:row>
      <xdr:rowOff>57150</xdr:rowOff>
    </xdr:from>
    <xdr:to>
      <xdr:col>10</xdr:col>
      <xdr:colOff>601980</xdr:colOff>
      <xdr:row>17</xdr:row>
      <xdr:rowOff>57150</xdr:rowOff>
    </xdr:to>
    <xdr:graphicFrame macro="">
      <xdr:nvGraphicFramePr>
        <xdr:cNvPr id="2" name="Chart 1">
          <a:extLst>
            <a:ext uri="{FF2B5EF4-FFF2-40B4-BE49-F238E27FC236}">
              <a16:creationId xmlns:a16="http://schemas.microsoft.com/office/drawing/2014/main" id="{979C833B-BE40-3F4A-DC5F-D13775D8A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shrath kumar" refreshedDate="45777.692916203705" createdVersion="8" refreshedVersion="8" minRefreshableVersion="3" recordCount="360" xr:uid="{E7B362CF-D11F-4E6A-A1C3-9AC8F49E5058}">
  <cacheSource type="worksheet">
    <worksheetSource ref="A1:M361" sheet="Starbucks_India_Data"/>
  </cacheSource>
  <cacheFields count="13">
    <cacheField name="Store ID" numFmtId="0">
      <sharedItems containsSemiMixedTypes="0" containsString="0" containsNumber="1" containsInteger="1" minValue="1001" maxValue="1030"/>
    </cacheField>
    <cacheField name="City" numFmtId="0">
      <sharedItems count="10">
        <s v="Mumbai"/>
        <s v="Delhi"/>
        <s v="Bangalore"/>
        <s v="Hyderabad"/>
        <s v="Chennai"/>
        <s v="Kolkata"/>
        <s v="Pune"/>
        <s v="Ahmedabad"/>
        <s v="Jaipur"/>
        <s v="Chandigarh"/>
      </sharedItems>
    </cacheField>
    <cacheField name="State" numFmtId="0">
      <sharedItems count="9">
        <s v="Maharashtra"/>
        <s v="Delhi"/>
        <s v="Karnataka"/>
        <s v="Telangana"/>
        <s v="Tamil Nadu"/>
        <s v="West Bengal"/>
        <s v="Gujarat"/>
        <s v="Rajasthan"/>
        <s v="Punjab"/>
      </sharedItems>
    </cacheField>
    <cacheField name="Store Type" numFmtId="0">
      <sharedItems count="2">
        <s v="Company-Owned"/>
        <s v="Licensed"/>
      </sharedItems>
    </cacheField>
    <cacheField name="Opening Date" numFmtId="164">
      <sharedItems containsSemiMixedTypes="0" containsNonDate="0" containsDate="1" containsString="0" minDate="2019-02-21T00:00:00" maxDate="2023-11-09T00:00:00"/>
    </cacheField>
    <cacheField name="Employees" numFmtId="0">
      <sharedItems containsSemiMixedTypes="0" containsString="0" containsNumber="1" containsInteger="1" minValue="8" maxValue="20"/>
    </cacheField>
    <cacheField name="Month" numFmtId="0">
      <sharedItems count="12">
        <s v="2024-01"/>
        <s v="2024-02"/>
        <s v="2024-03"/>
        <s v="2024-04"/>
        <s v="2024-05"/>
        <s v="2024-06"/>
        <s v="2024-07"/>
        <s v="2024-08"/>
        <s v="2024-09"/>
        <s v="2024-10"/>
        <s v="2024-11"/>
        <s v="2024-12"/>
      </sharedItems>
    </cacheField>
    <cacheField name="Revenue (INR)" numFmtId="0">
      <sharedItems containsSemiMixedTypes="0" containsString="0" containsNumber="1" containsInteger="1" minValue="300851" maxValue="1497564"/>
    </cacheField>
    <cacheField name="Footfall" numFmtId="0">
      <sharedItems containsSemiMixedTypes="0" containsString="0" containsNumber="1" containsInteger="1" minValue="3009" maxValue="14998"/>
    </cacheField>
    <cacheField name="Avg Spend/Customer (INR)" numFmtId="0">
      <sharedItems containsSemiMixedTypes="0" containsString="0" containsNumber="1" minValue="22.58" maxValue="469.34"/>
    </cacheField>
    <cacheField name="Coffee Sales (INR)" numFmtId="0">
      <sharedItems containsSemiMixedTypes="0" containsString="0" containsNumber="1" minValue="152646.60999999999" maxValue="935241.96" count="360">
        <n v="433691.35"/>
        <n v="820172.9"/>
        <n v="246524.75"/>
        <n v="876171.68"/>
        <n v="636903.21"/>
        <n v="184923.81"/>
        <n v="401584.13"/>
        <n v="232091.19"/>
        <n v="509379.19"/>
        <n v="612999.06999999995"/>
        <n v="516985.11"/>
        <n v="503359.7"/>
        <n v="771564.24"/>
        <n v="610349.31999999995"/>
        <n v="259498.6"/>
        <n v="441233.2"/>
        <n v="861607.44"/>
        <n v="256378.79"/>
        <n v="528694.6"/>
        <n v="763998.05"/>
        <n v="612037.99"/>
        <n v="455838.82"/>
        <n v="635056"/>
        <n v="323790.84000000003"/>
        <n v="339634.74"/>
        <n v="714349.91"/>
        <n v="855758.8"/>
        <n v="860969.56"/>
        <n v="440940.43"/>
        <n v="513458.83"/>
        <n v="266648.37"/>
        <n v="376345.86"/>
        <n v="804674.14"/>
        <n v="334524.82"/>
        <n v="436153.08"/>
        <n v="277415.81"/>
        <n v="626357.86"/>
        <n v="754918.2"/>
        <n v="369831.91"/>
        <n v="682281.37"/>
        <n v="379451.65"/>
        <n v="829765.17"/>
        <n v="196268.51"/>
        <n v="548938.18999999994"/>
        <n v="735234.81"/>
        <n v="815474.82"/>
        <n v="540913.79"/>
        <n v="555113.92000000004"/>
        <n v="268655.89"/>
        <n v="258394.94"/>
        <n v="289090.09999999998"/>
        <n v="280171.71999999997"/>
        <n v="293307.59999999998"/>
        <n v="210243.1"/>
        <n v="354965.3"/>
        <n v="551040.47"/>
        <n v="710760.53"/>
        <n v="529331.59"/>
        <n v="870058.28"/>
        <n v="593685.15"/>
        <n v="238005.17"/>
        <n v="652317.26"/>
        <n v="392445.85"/>
        <n v="375986.3"/>
        <n v="464425.21"/>
        <n v="668280.80000000005"/>
        <n v="494522.75"/>
        <n v="408098.73"/>
        <n v="800393.53"/>
        <n v="183487.17"/>
        <n v="284157.51"/>
        <n v="361790.77"/>
        <n v="720037"/>
        <n v="822410.83"/>
        <n v="260114.46"/>
        <n v="736623.55"/>
        <n v="598704.21"/>
        <n v="680264.46"/>
        <n v="234511.35999999999"/>
        <n v="202786.45"/>
        <n v="508126.38"/>
        <n v="540930.57999999996"/>
        <n v="280079.14"/>
        <n v="781816.52"/>
        <n v="615956.84"/>
        <n v="652976.28"/>
        <n v="388778.16"/>
        <n v="305415.09000000003"/>
        <n v="608397.76"/>
        <n v="395322.38"/>
        <n v="685288.14"/>
        <n v="646629.38"/>
        <n v="353464.78"/>
        <n v="615654.63"/>
        <n v="512004.5"/>
        <n v="908629.61"/>
        <n v="404099.54"/>
        <n v="547151.93000000005"/>
        <n v="540630.19999999995"/>
        <n v="672801.47"/>
        <n v="382466.7"/>
        <n v="508926.49"/>
        <n v="475935.32"/>
        <n v="582391.93999999994"/>
        <n v="754035.43"/>
        <n v="374919.01"/>
        <n v="152646.60999999999"/>
        <n v="525331.65"/>
        <n v="306263.53999999998"/>
        <n v="615488.93000000005"/>
        <n v="581355.81999999995"/>
        <n v="256720.84"/>
        <n v="241255.01"/>
        <n v="417062.34"/>
        <n v="471753.18"/>
        <n v="258501.99"/>
        <n v="637729.11"/>
        <n v="264315.64"/>
        <n v="804616.52"/>
        <n v="752853.26"/>
        <n v="739521.51"/>
        <n v="521299.42"/>
        <n v="801602.5"/>
        <n v="234551.81"/>
        <n v="452355.33"/>
        <n v="530194.84"/>
        <n v="603947.41"/>
        <n v="265486.26"/>
        <n v="179371.47"/>
        <n v="623335.81999999995"/>
        <n v="706664.92"/>
        <n v="376588.28"/>
        <n v="554452.25"/>
        <n v="316083.78000000003"/>
        <n v="675668.55"/>
        <n v="284309"/>
        <n v="533641.5"/>
        <n v="657491.18999999994"/>
        <n v="451054.62"/>
        <n v="202505.68"/>
        <n v="246003.43"/>
        <n v="164678.01999999999"/>
        <n v="345288.69"/>
        <n v="404922.14"/>
        <n v="538748.47"/>
        <n v="693873.58"/>
        <n v="477027.94"/>
        <n v="335937.15"/>
        <n v="628084.28"/>
        <n v="629593.86"/>
        <n v="334776.62"/>
        <n v="607544.89"/>
        <n v="702690.7"/>
        <n v="775710.02"/>
        <n v="535272.56999999995"/>
        <n v="301729.53000000003"/>
        <n v="498943.24"/>
        <n v="335510.61"/>
        <n v="634667.37"/>
        <n v="397504.98"/>
        <n v="284855.7"/>
        <n v="438353.05"/>
        <n v="581025.68000000005"/>
        <n v="472205.47"/>
        <n v="757748.59"/>
        <n v="756735.55"/>
        <n v="467846.84"/>
        <n v="575681.87"/>
        <n v="782576.43"/>
        <n v="709362.74"/>
        <n v="350362.7"/>
        <n v="183569.72"/>
        <n v="210666.36"/>
        <n v="830298.08"/>
        <n v="691125.47"/>
        <n v="260227.41"/>
        <n v="239647.84"/>
        <n v="197898.29"/>
        <n v="608032.88"/>
        <n v="667576.13"/>
        <n v="598494.68999999994"/>
        <n v="273701.58"/>
        <n v="362145.76"/>
        <n v="305096.08"/>
        <n v="165060.73000000001"/>
        <n v="452033.16"/>
        <n v="735622.23"/>
        <n v="338094.91"/>
        <n v="376858.4"/>
        <n v="368697.79"/>
        <n v="429881.48"/>
        <n v="629374.6"/>
        <n v="688332.28"/>
        <n v="481464.47"/>
        <n v="211010.33"/>
        <n v="369601.85"/>
        <n v="573628.77"/>
        <n v="724188.08"/>
        <n v="458349.71"/>
        <n v="638750.93999999994"/>
        <n v="521279.59"/>
        <n v="392420.27"/>
        <n v="802040.9"/>
        <n v="568757.23"/>
        <n v="205511.1"/>
        <n v="566082.12"/>
        <n v="206149.23"/>
        <n v="354106.15"/>
        <n v="321290.17"/>
        <n v="734700.38"/>
        <n v="539113.18999999994"/>
        <n v="654292.15"/>
        <n v="700626.34"/>
        <n v="296216.65000000002"/>
        <n v="745239.58"/>
        <n v="181764.69"/>
        <n v="676190.05"/>
        <n v="778952.58"/>
        <n v="346258.56"/>
        <n v="596565.27"/>
        <n v="712126.59"/>
        <n v="397986.91"/>
        <n v="622490.56000000006"/>
        <n v="635656.07999999996"/>
        <n v="339239.05"/>
        <n v="594434.56999999995"/>
        <n v="615059.6"/>
        <n v="572419.78"/>
        <n v="465013.13"/>
        <n v="417128.35"/>
        <n v="246845.19"/>
        <n v="185718.48"/>
        <n v="563883.54"/>
        <n v="682602.29"/>
        <n v="381540.27"/>
        <n v="509250.9"/>
        <n v="634558.43999999994"/>
        <n v="201492.74"/>
        <n v="339856.73"/>
        <n v="595748.52"/>
        <n v="445507.39"/>
        <n v="573855.18000000005"/>
        <n v="593388.52"/>
        <n v="493140.7"/>
        <n v="241322.82"/>
        <n v="514381.41"/>
        <n v="349455.09"/>
        <n v="275484.75"/>
        <n v="232560.05"/>
        <n v="507321.21"/>
        <n v="477937.93"/>
        <n v="796002.31"/>
        <n v="561341.06000000006"/>
        <n v="275128.61"/>
        <n v="592960.63"/>
        <n v="183461.79"/>
        <n v="447164.88"/>
        <n v="631200.79"/>
        <n v="935241.96"/>
        <n v="265934.59999999998"/>
        <n v="496430.37"/>
        <n v="245417.43"/>
        <n v="378085.29"/>
        <n v="813105.13"/>
        <n v="705057.26"/>
        <n v="193191.23"/>
        <n v="373624.44"/>
        <n v="752251.28"/>
        <n v="446618.37"/>
        <n v="242395.79"/>
        <n v="209410.67"/>
        <n v="276986.96000000002"/>
        <n v="829504.2"/>
        <n v="477023.37"/>
        <n v="190200.88"/>
        <n v="286381.42"/>
        <n v="596890.4"/>
        <n v="407146.34"/>
        <n v="293528.90999999997"/>
        <n v="649371.14"/>
        <n v="237163.77"/>
        <n v="754765.03"/>
        <n v="264856.19"/>
        <n v="311888.71999999997"/>
        <n v="268353.53999999998"/>
        <n v="505547.5"/>
        <n v="637220.88"/>
        <n v="714719.04"/>
        <n v="907376.54"/>
        <n v="403451.34"/>
        <n v="549872.43999999994"/>
        <n v="534706.5"/>
        <n v="606195.06999999995"/>
        <n v="722121.17"/>
        <n v="264664.21999999997"/>
        <n v="863117.96"/>
        <n v="546345.81000000006"/>
        <n v="449656.33"/>
        <n v="341246.08"/>
        <n v="541438.31999999995"/>
        <n v="845573.1"/>
        <n v="225751.86"/>
        <n v="418458.35"/>
        <n v="493147.28"/>
        <n v="349125.57"/>
        <n v="218291.91"/>
        <n v="611685.67000000004"/>
        <n v="558019.25"/>
        <n v="376320.02"/>
        <n v="253738.64"/>
        <n v="619201.80000000005"/>
        <n v="288729.61"/>
        <n v="467818.36"/>
        <n v="203661.16"/>
        <n v="298538.42"/>
        <n v="651586.26"/>
        <n v="439608.49"/>
        <n v="552042.46"/>
        <n v="658371.65"/>
        <n v="512565.84"/>
        <n v="556273.17000000004"/>
        <n v="598723.11"/>
        <n v="568970.32999999996"/>
        <n v="643359.06000000006"/>
        <n v="463255.11"/>
        <n v="297595.14"/>
        <n v="614943.71"/>
        <n v="286914.15999999997"/>
        <n v="319030.46000000002"/>
        <n v="293255.65000000002"/>
        <n v="766302.68"/>
        <n v="856255.56"/>
        <n v="518043.48"/>
        <n v="531379.59"/>
        <n v="247088.01"/>
        <n v="499455.15"/>
        <n v="739701.13"/>
        <n v="243897.61"/>
        <n v="396712.2"/>
        <n v="202287.25"/>
        <n v="476315.66"/>
        <n v="226013.17"/>
        <n v="800202.72"/>
        <n v="474999.79"/>
        <n v="237473.58"/>
        <n v="291779.62"/>
        <n v="286940.28000000003"/>
        <n v="665179.6"/>
        <n v="268346.44"/>
        <n v="577520.18000000005"/>
        <n v="813160.91"/>
        <n v="553247.86"/>
        <n v="479134.78"/>
        <n v="372812.2"/>
        <n v="309402.21999999997"/>
        <n v="817795.53"/>
        <n v="301982.95"/>
        <n v="347870.94"/>
        <n v="456628.84"/>
        <n v="691253.26"/>
      </sharedItems>
    </cacheField>
    <cacheField name="Food Sales (INR)" numFmtId="0">
      <sharedItems containsSemiMixedTypes="0" containsString="0" containsNumber="1" minValue="85339.839999999997" maxValue="656338.11" count="360">
        <n v="348338.85"/>
        <n v="370106.03"/>
        <n v="183902.87"/>
        <n v="576427.64"/>
        <n v="360590.66"/>
        <n v="99749.42"/>
        <n v="198661.95"/>
        <n v="207443.03"/>
        <n v="305352.12"/>
        <n v="454908.86"/>
        <n v="279324.23"/>
        <n v="327560.90999999997"/>
        <n v="353409.33"/>
        <n v="407952.31"/>
        <n v="160480.17000000001"/>
        <n v="247266.63"/>
        <n v="614464.67000000004"/>
        <n v="171518.23"/>
        <n v="493758.75"/>
        <n v="567615.69999999995"/>
        <n v="342272.02"/>
        <n v="326397.93"/>
        <n v="352193.25"/>
        <n v="236723.21"/>
        <n v="166950.95000000001"/>
        <n v="391516.53"/>
        <n v="398503.15"/>
        <n v="453552.39"/>
        <n v="229472.73"/>
        <n v="299637.62"/>
        <n v="197644.19"/>
        <n v="202457.35"/>
        <n v="491062.92"/>
        <n v="222572.93"/>
        <n v="402152.53"/>
        <n v="192208.34"/>
        <n v="461035.79"/>
        <n v="476203.96"/>
        <n v="324129.52"/>
        <n v="368582.39"/>
        <n v="208422.93"/>
        <n v="367516.36"/>
        <n v="108527.22"/>
        <n v="303542.75"/>
        <n v="520170.61"/>
        <n v="609394.56000000006"/>
        <n v="440465.7"/>
        <n v="440952.69"/>
        <n v="160963.60999999999"/>
        <n v="189043.69"/>
        <n v="203454.39"/>
        <n v="192945.74"/>
        <n v="180967.2"/>
        <n v="138912.25"/>
        <n v="189929.7"/>
        <n v="285752.38"/>
        <n v="455369.56"/>
        <n v="355781.94"/>
        <n v="411754.38"/>
        <n v="337389.01"/>
        <n v="147198.76999999999"/>
        <n v="497061.87"/>
        <n v="265564.96999999997"/>
        <n v="339560.01"/>
        <n v="305214.28999999998"/>
        <n v="418085.28"/>
        <n v="264930.51"/>
        <n v="324901.71999999997"/>
        <n v="550310.63"/>
        <n v="115862.98"/>
        <n v="178986.11"/>
        <n v="246050.38"/>
        <n v="453854.33"/>
        <n v="508634.01"/>
        <n v="221347.29"/>
        <n v="541682.28"/>
        <n v="428603.91"/>
        <n v="586984.30000000005"/>
        <n v="169064.72"/>
        <n v="108382.19"/>
        <n v="306055.06"/>
        <n v="317243.24"/>
        <n v="198382.78"/>
        <n v="376885.64"/>
        <n v="402701.7"/>
        <n v="345095.3"/>
        <n v="277884.39"/>
        <n v="266718.13"/>
        <n v="421393.42"/>
        <n v="320182.90000000002"/>
        <n v="324597.42"/>
        <n v="517605.36"/>
        <n v="224349.53"/>
        <n v="438241.29"/>
        <n v="292114.15999999997"/>
        <n v="388992.69"/>
        <n v="288640.90000000002"/>
        <n v="337428.42"/>
        <n v="286787.65000000002"/>
        <n v="499517.44"/>
        <n v="313652.73"/>
        <n v="416447.22"/>
        <n v="308401.71000000002"/>
        <n v="315094.25"/>
        <n v="455517.36"/>
        <n v="220245.08"/>
        <n v="101079.21"/>
        <n v="375807.34"/>
        <n v="231580.7"/>
        <n v="401404.3"/>
        <n v="265775.61"/>
        <n v="147754.26"/>
        <n v="170205.61"/>
        <n v="246920.08"/>
        <n v="203818.11"/>
        <n v="215077.22"/>
        <n v="415648.53"/>
        <n v="190156.34"/>
        <n v="622111.36"/>
        <n v="526141.44999999995"/>
        <n v="426045.64"/>
        <n v="257676.97"/>
        <n v="424827.25"/>
        <n v="140756.82"/>
        <n v="271895.34999999998"/>
        <n v="323030.86"/>
        <n v="401540.36"/>
        <n v="141185.19"/>
        <n v="85642.32"/>
        <n v="436545.8"/>
        <n v="423438.55"/>
        <n v="257091"/>
        <n v="394282.9"/>
        <n v="244877.86"/>
        <n v="561622.35"/>
        <n v="176562.04"/>
        <n v="313216.40000000002"/>
        <n v="455976.81"/>
        <n v="331458.61"/>
        <n v="107923.9"/>
        <n v="111434.68"/>
        <n v="94336.92"/>
        <n v="185186.63"/>
        <n v="311044.75"/>
        <n v="414988.67"/>
        <n v="314888.62"/>
        <n v="251136.69"/>
        <n v="176928.65"/>
        <n v="420859.2"/>
        <n v="420937.24"/>
        <n v="196602.79"/>
        <n v="360568.21"/>
        <n v="573900.86"/>
        <n v="593091.34"/>
        <n v="359078.41"/>
        <n v="143932.25"/>
        <n v="460023.79"/>
        <n v="279056.07"/>
        <n v="395599.38"/>
        <n v="386585.14"/>
        <n v="166744.57"/>
        <n v="315462.3"/>
        <n v="364923.53"/>
        <n v="262361.28999999998"/>
        <n v="656338.11"/>
        <n v="495533.63"/>
        <n v="371798.02"/>
        <n v="423339.68"/>
        <n v="585792.69999999995"/>
        <n v="378212.95"/>
        <n v="202149.91"/>
        <n v="100504.25"/>
        <n v="181823.77"/>
        <n v="484999.34"/>
        <n v="368458.19"/>
        <n v="140894.24"/>
        <n v="159694.44"/>
        <n v="149532.44"/>
        <n v="256499.55"/>
        <n v="438248.74"/>
        <n v="287307.96999999997"/>
        <n v="115038.89"/>
        <n v="281124.09000000003"/>
        <n v="166791.75"/>
        <n v="112697.8"/>
        <n v="356484.94"/>
        <n v="544422.11"/>
        <n v="210855.28"/>
        <n v="161860.28"/>
        <n v="268807.02"/>
        <n v="351001.53"/>
        <n v="399022.55"/>
        <n v="307746.01"/>
        <n v="284763.55"/>
        <n v="125465.36"/>
        <n v="225879.12"/>
        <n v="297840.58"/>
        <n v="441526.22"/>
        <n v="274633.14"/>
        <n v="444974.8"/>
        <n v="305026.52"/>
        <n v="335467.08"/>
        <n v="494464"/>
        <n v="376073.9"/>
        <n v="112756.14"/>
        <n v="313649.77"/>
        <n v="107391.15"/>
        <n v="227856.12"/>
        <n v="214334.67"/>
        <n v="355970.14"/>
        <n v="303811.42"/>
        <n v="472606.56"/>
        <n v="388373.61"/>
        <n v="239202.15"/>
        <n v="411379.87"/>
        <n v="127494.26"/>
        <n v="391330.12"/>
        <n v="452563.42"/>
        <n v="227189.36"/>
        <n v="400232.57"/>
        <n v="449121.96"/>
        <n v="170375.71"/>
        <n v="336791.15"/>
        <n v="391199.73"/>
        <n v="276831.45"/>
        <n v="383772.32"/>
        <n v="322432.48"/>
        <n v="387447.23"/>
        <n v="243627.84"/>
        <n v="209567.75"/>
        <n v="158286.64000000001"/>
        <n v="94225.01"/>
        <n v="314305.03000000003"/>
        <n v="332955.84999999998"/>
        <n v="217829.41"/>
        <n v="224307.56"/>
        <n v="381480.2"/>
        <n v="123254.14"/>
        <n v="201455.48"/>
        <n v="359878.1"/>
        <n v="194757.89"/>
        <n v="340023.29"/>
        <n v="350787.22"/>
        <n v="339007.66"/>
        <n v="167815.58"/>
        <n v="288479.3"/>
        <n v="280273.40999999997"/>
        <n v="220355.76"/>
        <n v="98222.3"/>
        <n v="460073.72"/>
        <n v="272334.96000000002"/>
        <n v="619285.17000000004"/>
        <n v="315814.19"/>
        <n v="135140.93"/>
        <n v="462594.85"/>
        <n v="112239.36"/>
        <n v="320974.81"/>
        <n v="371507.1"/>
        <n v="434746.63"/>
        <n v="186819.42"/>
        <n v="259537.52"/>
        <n v="103289.36"/>
        <n v="269997.21000000002"/>
        <n v="566439.94999999995"/>
        <n v="583946.98"/>
        <n v="124839.93"/>
        <n v="307836.65000000002"/>
        <n v="475266.45"/>
        <n v="289580.71999999997"/>
        <n v="186021.71"/>
        <n v="102993.23"/>
        <n v="234637.15"/>
        <n v="603342.73"/>
        <n v="321548.34999999998"/>
        <n v="85339.839999999997"/>
        <n v="163137.10999999999"/>
        <n v="266140.09000000003"/>
        <n v="286240.89"/>
        <n v="218352.13"/>
        <n v="482774.97"/>
        <n v="165523.76999999999"/>
        <n v="617076.55000000005"/>
        <n v="143341.51"/>
        <n v="178302.31"/>
        <n v="123523.88"/>
        <n v="315341.8"/>
        <n v="349688.19"/>
        <n v="337702.07"/>
        <n v="489314.66"/>
        <n v="265468.15999999997"/>
        <n v="393165.28"/>
        <n v="323271.7"/>
        <n v="345755.48"/>
        <n v="391288.31"/>
        <n v="252822.25"/>
        <n v="490913.44"/>
        <n v="365021.54"/>
        <n v="335754.37"/>
        <n v="261946.27"/>
        <n v="416304.25"/>
        <n v="558887.56999999995"/>
        <n v="147665.84"/>
        <n v="336207.08"/>
        <n v="271390.77"/>
        <n v="158461.1"/>
        <n v="106747.24"/>
        <n v="382478.98"/>
        <n v="418254.54"/>
        <n v="162801.49"/>
        <n v="157721.65"/>
        <n v="492026.28"/>
        <n v="165189.51999999999"/>
        <n v="423115.52000000002"/>
        <n v="182161.85"/>
        <n v="161055.91"/>
        <n v="437903.72"/>
        <n v="300204.08"/>
        <n v="415437.03"/>
        <n v="322622.28000000003"/>
        <n v="316502.68"/>
        <n v="298897.08"/>
        <n v="366559.06"/>
        <n v="287133.84999999998"/>
        <n v="322510.21000000002"/>
        <n v="202848.5"/>
        <n v="232464.96"/>
        <n v="427317.75"/>
        <n v="183646.2"/>
        <n v="266756.37"/>
        <n v="172030.25"/>
        <n v="432534.48"/>
        <n v="556292.46"/>
        <n v="331061.11"/>
        <n v="299582.42"/>
        <n v="117323.94"/>
        <n v="453844.07"/>
        <n v="492000.27"/>
        <n v="140642.82999999999"/>
        <n v="243358.09"/>
        <n v="184720.89"/>
        <n v="386901.32"/>
        <n v="171249.88"/>
        <n v="451585.11"/>
        <n v="283768.14"/>
        <n v="107856.87"/>
        <n v="152860.26"/>
        <n v="235510.16"/>
        <n v="402800.3"/>
        <n v="180892.23"/>
        <n v="411161.95"/>
        <n v="469867.74"/>
        <n v="302874.76"/>
        <n v="260160.75"/>
        <n v="239627.15"/>
        <n v="213560.89"/>
        <n v="597182.94999999995"/>
        <n v="162360.13"/>
        <n v="214968.25"/>
        <n v="319636.09000000003"/>
        <n v="387206.52"/>
      </sharedItems>
    </cacheField>
    <cacheField name="Merchandise Sales (INR)" numFmtId="0">
      <sharedItems containsSemiMixedTypes="0" containsString="0" containsNumber="1" minValue="-91835.16" maxValue="376143.19" count="360">
        <n v="94747.8"/>
        <n v="253437.06999999899"/>
        <n v="66065.38"/>
        <n v="24416.679999999898"/>
        <n v="182302.13"/>
        <n v="28954.77"/>
        <n v="25817.9199999999"/>
        <n v="54967.78"/>
        <n v="40008.69"/>
        <n v="25936.07"/>
        <n v="262093.66"/>
        <n v="-52983.609999999899"/>
        <n v="125896.43"/>
        <n v="26754.37"/>
        <n v="29762.229999999901"/>
        <n v="124905.16999999899"/>
        <n v="-8064.1099999999797"/>
        <n v="-10587.02"/>
        <n v="118849.65"/>
        <n v="157848.25"/>
        <n v="175389.99"/>
        <n v="34978.25"/>
        <n v="211240.75"/>
        <n v="29587.949999999899"/>
        <n v="128920.31"/>
        <n v="-5553.4400000000596"/>
        <n v="205936.049999999"/>
        <n v="111586.049999999"/>
        <n v="245100.84"/>
        <n v="39269.549999999901"/>
        <n v="58866.44"/>
        <n v="138342.79"/>
        <n v="116494.94"/>
        <n v="-22494.75"/>
        <n v="106597.389999999"/>
        <n v="-4459.1499999999896"/>
        <n v="209345.35"/>
        <n v="-43738.159999999902"/>
        <n v="27882.57"/>
        <n v="32255.2399999999"/>
        <n v="232020.41999999899"/>
        <n v="264375.46999999997"/>
        <n v="118671.269999999"/>
        <n v="140477.06"/>
        <n v="62581.5799999999"/>
        <n v="72694.62"/>
        <n v="172286.50999999899"/>
        <n v="46948.389999999898"/>
        <n v="76777.5"/>
        <n v="81714.37"/>
        <n v="101438.51"/>
        <n v="-15024.459999999901"/>
        <n v="31054.2"/>
        <n v="-18206.349999999999"/>
        <n v="103884"/>
        <n v="304249.15000000002"/>
        <n v="-47357.09"/>
        <n v="13096.47"/>
        <n v="183717.33999999901"/>
        <n v="-8833.1600000000308"/>
        <n v="34680.06"/>
        <n v="264472.87"/>
        <n v="31692.18"/>
        <n v="77711.69"/>
        <n v="46711.5"/>
        <n v="92811.919999999896"/>
        <n v="87411.739999999903"/>
        <n v="124033.55"/>
        <n v="-91835.16"/>
        <n v="20184.8499999999"/>
        <n v="46531.38"/>
        <n v="-30060.15"/>
        <n v="45047.669999999896"/>
        <n v="78224.160000000003"/>
        <n v="35774.25"/>
        <n v="181888.16999999899"/>
        <n v="-8236.1199999999299"/>
        <n v="92670.239999999903"/>
        <n v="2956.9200000000101"/>
        <n v="81287.359999999899"/>
        <n v="35178.559999999998"/>
        <n v="338750.18"/>
        <n v="134127.07999999999"/>
        <n v="300026.83999999898"/>
        <n v="31721.46"/>
        <n v="43645.419999999896"/>
        <n v="-42541.549999999901"/>
        <n v="99171.779999999897"/>
        <n v="-33148.179999999898"/>
        <n v="104938.719999999"/>
        <n v="92362.44"/>
        <n v="101090.26"/>
        <n v="199487.68999999901"/>
        <n v="-65480.919999999896"/>
        <n v="81248.34"/>
        <n v="126902.7"/>
        <n v="163982.56"/>
        <n v="73248.649999999907"/>
        <n v="280395.15000000002"/>
        <n v="42159.09"/>
        <n v="17092.57"/>
        <n v="67105.289999999994"/>
        <n v="145483.96999999901"/>
        <n v="246407.81"/>
        <n v="-27813.79"/>
        <n v="69796.91"/>
        <n v="47125.18"/>
        <n v="74666.009999999893"/>
        <n v="118023.76"/>
        <n v="-13953.23"/>
        <n v="103864.57"/>
        <n v="-7558.1"/>
        <n v="41270.379999999997"/>
        <n v="43777.5799999999"/>
        <n v="136100.71"/>
        <n v="49949.79"/>
        <n v="332858.36"/>
        <n v="100035.019999999"/>
        <n v="-12863.88"/>
        <n v="-50851.709999999897"/>
        <n v="69580.849999999904"/>
        <n v="64587.61"/>
        <n v="166814.25"/>
        <n v="87185.37"/>
        <n v="246228.32"/>
        <n v="250057.3"/>
        <n v="164553.22999999899"/>
        <n v="23908.549999999901"/>
        <n v="75947.209999999905"/>
        <n v="-22190.619999999901"/>
        <n v="48647.529999999897"/>
        <n v="128823.719999999"/>
        <n v="199177.84999999899"/>
        <n v="6692.3599999999797"/>
        <n v="246324.09999999899"/>
        <n v="123710.959999999"/>
        <n v="139650.09999999899"/>
        <n v="-18382.999999999902"/>
        <n v="46537.77"/>
        <n v="98801.42"/>
        <n v="26988.89"/>
        <n v="83724.06"/>
        <n v="9416.6799999999894"/>
        <n v="121414.109999999"/>
        <n v="-1442.1399999999501"/>
        <n v="78312.800000000003"/>
        <n v="81127.37"/>
        <n v="41004.199999999903"/>
        <n v="149429.519999999"/>
        <n v="-34918.099999999897"/>
        <n v="-10048.41"/>
        <n v="296029.89999999898"/>
        <n v="117590.44"/>
        <n v="59828.639999999999"/>
        <n v="-31484.979999999901"/>
        <n v="36083.219999999899"/>
        <n v="135830.97"/>
        <n v="66778.320000000007"/>
        <n v="-16524.75"/>
        <n v="95286.88"/>
        <n v="27942.729999999901"/>
        <n v="50179.65"/>
        <n v="293940.78999999899"/>
        <n v="75680.240000000005"/>
        <n v="46629.3"/>
        <n v="201978.81999999899"/>
        <n v="103390.139999999"/>
        <n v="-37269.549999999901"/>
        <n v="-52931.13"/>
        <n v="312667.31"/>
        <n v="154581.389999999"/>
        <n v="45597.03"/>
        <n v="21858.87"/>
        <n v="14149.58"/>
        <n v="224812.34"/>
        <n v="6622.35"/>
        <n v="37692.720000000001"/>
        <n v="64995.269999999902"/>
        <n v="72656.570000000007"/>
        <n v="66955.13"/>
        <n v="37791.339999999997"/>
        <n v="37571.529999999897"/>
        <n v="92492.149999999907"/>
        <n v="157484.16999999899"/>
        <n v="27852.469999999899"/>
        <n v="102296.9"/>
        <n v="-27872.339999999898"/>
        <n v="165905.81"/>
        <n v="73734.319999999905"/>
        <n v="10460.19"/>
        <n v="124376.989999999"/>
        <n v="115723.85"/>
        <n v="209950.709999999"/>
        <n v="13860.98"/>
        <n v="7030.3100000000104"/>
        <n v="71920.03"/>
        <n v="11866.6499999999"/>
        <n v="165508.70000000001"/>
        <n v="240324.149999999"/>
        <n v="79556.259999999995"/>
        <n v="313502.88999999902"/>
        <n v="101430.649999999"/>
        <n v="82681.099999999904"/>
        <n v="221810.87"/>
        <n v="89969.76"/>
        <n v="24308.109999999899"/>
        <n v="47002.619999999901"/>
        <n v="50180.729999999901"/>
        <n v="-40151.839999999997"/>
        <n v="177055.47999999899"/>
        <n v="69153.39"/>
        <n v="184975.28999999899"/>
        <n v="15438.05"/>
        <n v="50859.199999999903"/>
        <n v="13577.55"/>
        <n v="-3879.9499999999898"/>
        <n v="168956.829999999"/>
        <n v="208139"/>
        <n v="122184.08"/>
        <n v="164659.15999999901"/>
        <n v="-61749.549999999901"/>
        <n v="50624.38"/>
        <n v="36961.289999999899"/>
        <n v="376143.19"/>
        <n v="7647.5"/>
        <n v="31807.11"/>
        <n v="51558.92"/>
        <n v="4218.9899999999898"/>
        <n v="83707.03"/>
        <n v="150376.9"/>
        <n v="105646.16999999899"/>
        <n v="80762.509999999995"/>
        <n v="173563.429999999"/>
        <n v="148576.85999999999"/>
        <n v="67777.319999999905"/>
        <n v="71497.539999999906"/>
        <n v="251062.36"/>
        <n v="-5039.8799999999901"/>
        <n v="89985.79"/>
        <n v="-28255.619999999901"/>
        <n v="77522.719999999899"/>
        <n v="185899.52999999901"/>
        <n v="-25032.7399999999"/>
        <n v="43478.64"/>
        <n v="-6285.3999999999896"/>
        <n v="97331.29"/>
        <n v="69006.5"/>
        <n v="91005.489999999903"/>
        <n v="51892.65"/>
        <n v="97774.07"/>
        <n v="234906.11"/>
        <n v="15932.5199999999"/>
        <n v="41800.749999999898"/>
        <n v="47644.46"/>
        <n v="77876.52"/>
        <n v="33487.849999999897"/>
        <n v="81652.31"/>
        <n v="76328.109999999899"/>
        <n v="107367.41"/>
        <n v="-20179.019999999899"/>
        <n v="177770.11"/>
        <n v="29332.21"/>
        <n v="144328.5"/>
        <n v="53319.92"/>
        <n v="37230.76"/>
        <n v="50579.839999999997"/>
        <n v="113702.909999999"/>
        <n v="214309.269999999"/>
        <n v="-38142.089999999902"/>
        <n v="63835.5"/>
        <n v="32385.0999999999"/>
        <n v="52456.889999999898"/>
        <n v="29410.07"/>
        <n v="-9938.7199999999702"/>
        <n v="30405.279999999999"/>
        <n v="123094.47"/>
        <n v="188257.50999999899"/>
        <n v="163128.769999999"/>
        <n v="26457.96"/>
        <n v="244191.89"/>
        <n v="-11744.539999999901"/>
        <n v="21720.4199999999"/>
        <n v="19362.299999999901"/>
        <n v="36220.97"/>
        <n v="77551.58"/>
        <n v="55860.7"/>
        <n v="-4946.07"/>
        <n v="199088.889999999"/>
        <n v="59541.799999999901"/>
        <n v="110265.5"/>
        <n v="229355.28"/>
        <n v="-23436.2"/>
        <n v="342660.45"/>
        <n v="92300.519999999902"/>
        <n v="55384.53"/>
        <n v="123903.6"/>
        <n v="275594.64999999898"/>
        <n v="169841.3"/>
        <n v="21299.6499999999"/>
        <n v="76499.429999999993"/>
        <n v="71969.33"/>
        <n v="-18359.699999999899"/>
        <n v="106212.57"/>
        <n v="183448.94999999899"/>
        <n v="92833.3299999999"/>
        <n v="39252.849999999897"/>
        <n v="186287.34999999899"/>
        <n v="4006.21000000002"/>
        <n v="87152.489999999903"/>
        <n v="59627.709999999897"/>
        <n v="115804.91999999899"/>
        <n v="84772.87"/>
        <n v="55868.119999999901"/>
        <n v="29062.9899999999"/>
        <n v="128207.67"/>
        <n v="253602.02"/>
        <n v="42764.429999999898"/>
        <n v="75262.509999999995"/>
        <n v="233824.06999999899"/>
        <n v="127466.47999999901"/>
        <n v="320796.74999999901"/>
        <n v="15805.83"/>
        <n v="202755.82"/>
        <n v="247809.72999999899"/>
        <n v="98566.39"/>
        <n v="9070.8999999999905"/>
        <n v="-9568.4599999999591"/>
        <n v="139167.64000000001"/>
        <n v="78066.169999999896"/>
        <n v="-7258.9000000000196"/>
        <n v="74142.839999999895"/>
        <n v="71276.979999999894"/>
        <n v="113886.41"/>
        <n v="104097.99"/>
        <n v="91177.049999999901"/>
        <n v="119998.77999999899"/>
        <n v="131696.59999999899"/>
        <n v="1489.56000000002"/>
        <n v="54695.709999999897"/>
        <n v="42749.859999999899"/>
        <n v="157024.01999999999"/>
        <n v="-15177.05"/>
        <n v="147263.17000000001"/>
        <n v="134502.07"/>
        <n v="64487.55"/>
        <n v="53553.119999999901"/>
        <n v="92904.559999999896"/>
        <n v="-34352.8999999999"/>
        <n v="28429.3299999999"/>
        <n v="182.86999999993699"/>
        <n v="120897.349999999"/>
        <n v="202685.38"/>
        <n v="9898.4699999999702"/>
        <n v="162655.65"/>
        <n v="-10856.109999999901"/>
        <n v="-10762.4799999999"/>
        <n v="110485.91999999899"/>
        <n v="84320.81"/>
        <n v="21871.069999999901"/>
        <n v="163010.21999999901"/>
      </sharedItems>
    </cacheField>
  </cacheFields>
  <extLst>
    <ext xmlns:x14="http://schemas.microsoft.com/office/spreadsheetml/2009/9/main" uri="{725AE2AE-9491-48be-B2B4-4EB974FC3084}">
      <x14:pivotCacheDefinition pivotCacheId="682853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n v="1001"/>
    <x v="0"/>
    <x v="0"/>
    <x v="0"/>
    <d v="2019-02-21T00:00:00"/>
    <n v="19"/>
    <x v="0"/>
    <n v="876778"/>
    <n v="7012"/>
    <n v="125.04"/>
    <x v="0"/>
    <x v="0"/>
    <x v="0"/>
  </r>
  <r>
    <n v="1001"/>
    <x v="0"/>
    <x v="0"/>
    <x v="0"/>
    <d v="2019-02-21T00:00:00"/>
    <n v="19"/>
    <x v="1"/>
    <n v="1443716"/>
    <n v="4424"/>
    <n v="326.33999999999997"/>
    <x v="1"/>
    <x v="1"/>
    <x v="1"/>
  </r>
  <r>
    <n v="1001"/>
    <x v="0"/>
    <x v="0"/>
    <x v="0"/>
    <d v="2019-02-21T00:00:00"/>
    <n v="19"/>
    <x v="2"/>
    <n v="496493"/>
    <n v="6582"/>
    <n v="75.430000000000007"/>
    <x v="2"/>
    <x v="2"/>
    <x v="2"/>
  </r>
  <r>
    <n v="1001"/>
    <x v="0"/>
    <x v="0"/>
    <x v="0"/>
    <d v="2019-02-21T00:00:00"/>
    <n v="19"/>
    <x v="3"/>
    <n v="1477016"/>
    <n v="6257"/>
    <n v="236.06"/>
    <x v="3"/>
    <x v="3"/>
    <x v="3"/>
  </r>
  <r>
    <n v="1001"/>
    <x v="0"/>
    <x v="0"/>
    <x v="0"/>
    <d v="2019-02-21T00:00:00"/>
    <n v="19"/>
    <x v="4"/>
    <n v="1179796"/>
    <n v="6611"/>
    <n v="178.46"/>
    <x v="4"/>
    <x v="4"/>
    <x v="4"/>
  </r>
  <r>
    <n v="1001"/>
    <x v="0"/>
    <x v="0"/>
    <x v="0"/>
    <d v="2019-02-21T00:00:00"/>
    <n v="19"/>
    <x v="5"/>
    <n v="313628"/>
    <n v="5615"/>
    <n v="55.86"/>
    <x v="5"/>
    <x v="5"/>
    <x v="5"/>
  </r>
  <r>
    <n v="1001"/>
    <x v="0"/>
    <x v="0"/>
    <x v="0"/>
    <d v="2019-02-21T00:00:00"/>
    <n v="19"/>
    <x v="6"/>
    <n v="626064"/>
    <n v="6527"/>
    <n v="95.92"/>
    <x v="6"/>
    <x v="6"/>
    <x v="6"/>
  </r>
  <r>
    <n v="1001"/>
    <x v="0"/>
    <x v="0"/>
    <x v="0"/>
    <d v="2019-02-21T00:00:00"/>
    <n v="19"/>
    <x v="7"/>
    <n v="494502"/>
    <n v="9224"/>
    <n v="53.61"/>
    <x v="7"/>
    <x v="7"/>
    <x v="7"/>
  </r>
  <r>
    <n v="1001"/>
    <x v="0"/>
    <x v="0"/>
    <x v="0"/>
    <d v="2019-02-21T00:00:00"/>
    <n v="19"/>
    <x v="8"/>
    <n v="854740"/>
    <n v="3711"/>
    <n v="230.33"/>
    <x v="8"/>
    <x v="8"/>
    <x v="8"/>
  </r>
  <r>
    <n v="1001"/>
    <x v="0"/>
    <x v="0"/>
    <x v="0"/>
    <d v="2019-02-21T00:00:00"/>
    <n v="19"/>
    <x v="9"/>
    <n v="1093844"/>
    <n v="4291"/>
    <n v="254.92"/>
    <x v="9"/>
    <x v="9"/>
    <x v="9"/>
  </r>
  <r>
    <n v="1001"/>
    <x v="0"/>
    <x v="0"/>
    <x v="0"/>
    <d v="2019-02-21T00:00:00"/>
    <n v="19"/>
    <x v="10"/>
    <n v="1058403"/>
    <n v="12459"/>
    <n v="84.95"/>
    <x v="10"/>
    <x v="10"/>
    <x v="10"/>
  </r>
  <r>
    <n v="1001"/>
    <x v="0"/>
    <x v="0"/>
    <x v="0"/>
    <d v="2019-02-21T00:00:00"/>
    <n v="19"/>
    <x v="11"/>
    <n v="777937"/>
    <n v="7741"/>
    <n v="100.5"/>
    <x v="11"/>
    <x v="11"/>
    <x v="11"/>
  </r>
  <r>
    <n v="1002"/>
    <x v="0"/>
    <x v="0"/>
    <x v="0"/>
    <d v="2021-02-17T00:00:00"/>
    <n v="12"/>
    <x v="0"/>
    <n v="1250870"/>
    <n v="13415"/>
    <n v="93.24"/>
    <x v="12"/>
    <x v="12"/>
    <x v="12"/>
  </r>
  <r>
    <n v="1002"/>
    <x v="0"/>
    <x v="0"/>
    <x v="0"/>
    <d v="2021-02-17T00:00:00"/>
    <n v="12"/>
    <x v="1"/>
    <n v="1045056"/>
    <n v="6432"/>
    <n v="162.47999999999999"/>
    <x v="13"/>
    <x v="13"/>
    <x v="13"/>
  </r>
  <r>
    <n v="1002"/>
    <x v="0"/>
    <x v="0"/>
    <x v="0"/>
    <d v="2021-02-17T00:00:00"/>
    <n v="12"/>
    <x v="2"/>
    <n v="449741"/>
    <n v="12980"/>
    <n v="34.65"/>
    <x v="14"/>
    <x v="14"/>
    <x v="14"/>
  </r>
  <r>
    <n v="1002"/>
    <x v="0"/>
    <x v="0"/>
    <x v="0"/>
    <d v="2021-02-17T00:00:00"/>
    <n v="12"/>
    <x v="3"/>
    <n v="813405"/>
    <n v="5677"/>
    <n v="143.28"/>
    <x v="15"/>
    <x v="15"/>
    <x v="15"/>
  </r>
  <r>
    <n v="1002"/>
    <x v="0"/>
    <x v="0"/>
    <x v="0"/>
    <d v="2021-02-17T00:00:00"/>
    <n v="12"/>
    <x v="4"/>
    <n v="1468008"/>
    <n v="6598"/>
    <n v="222.49"/>
    <x v="16"/>
    <x v="16"/>
    <x v="16"/>
  </r>
  <r>
    <n v="1002"/>
    <x v="0"/>
    <x v="0"/>
    <x v="0"/>
    <d v="2021-02-17T00:00:00"/>
    <n v="12"/>
    <x v="5"/>
    <n v="417310"/>
    <n v="6752"/>
    <n v="61.81"/>
    <x v="17"/>
    <x v="17"/>
    <x v="17"/>
  </r>
  <r>
    <n v="1002"/>
    <x v="0"/>
    <x v="0"/>
    <x v="0"/>
    <d v="2021-02-17T00:00:00"/>
    <n v="12"/>
    <x v="6"/>
    <n v="1141303"/>
    <n v="7386"/>
    <n v="154.52000000000001"/>
    <x v="18"/>
    <x v="18"/>
    <x v="18"/>
  </r>
  <r>
    <n v="1002"/>
    <x v="0"/>
    <x v="0"/>
    <x v="0"/>
    <d v="2021-02-17T00:00:00"/>
    <n v="12"/>
    <x v="7"/>
    <n v="1489462"/>
    <n v="14762"/>
    <n v="100.9"/>
    <x v="19"/>
    <x v="19"/>
    <x v="19"/>
  </r>
  <r>
    <n v="1002"/>
    <x v="0"/>
    <x v="0"/>
    <x v="0"/>
    <d v="2021-02-17T00:00:00"/>
    <n v="12"/>
    <x v="8"/>
    <n v="1129700"/>
    <n v="13532"/>
    <n v="83.48"/>
    <x v="20"/>
    <x v="20"/>
    <x v="20"/>
  </r>
  <r>
    <n v="1002"/>
    <x v="0"/>
    <x v="0"/>
    <x v="0"/>
    <d v="2021-02-17T00:00:00"/>
    <n v="12"/>
    <x v="9"/>
    <n v="817215"/>
    <n v="12197"/>
    <n v="67"/>
    <x v="21"/>
    <x v="21"/>
    <x v="21"/>
  </r>
  <r>
    <n v="1002"/>
    <x v="0"/>
    <x v="0"/>
    <x v="0"/>
    <d v="2021-02-17T00:00:00"/>
    <n v="12"/>
    <x v="10"/>
    <n v="1198490"/>
    <n v="12560"/>
    <n v="95.42"/>
    <x v="22"/>
    <x v="22"/>
    <x v="22"/>
  </r>
  <r>
    <n v="1002"/>
    <x v="0"/>
    <x v="0"/>
    <x v="0"/>
    <d v="2021-02-17T00:00:00"/>
    <n v="12"/>
    <x v="11"/>
    <n v="590102"/>
    <n v="11348"/>
    <n v="52"/>
    <x v="23"/>
    <x v="23"/>
    <x v="23"/>
  </r>
  <r>
    <n v="1003"/>
    <x v="0"/>
    <x v="0"/>
    <x v="0"/>
    <d v="2019-11-10T00:00:00"/>
    <n v="18"/>
    <x v="0"/>
    <n v="635506"/>
    <n v="14149"/>
    <n v="44.92"/>
    <x v="24"/>
    <x v="24"/>
    <x v="24"/>
  </r>
  <r>
    <n v="1003"/>
    <x v="0"/>
    <x v="0"/>
    <x v="0"/>
    <d v="2019-11-10T00:00:00"/>
    <n v="18"/>
    <x v="1"/>
    <n v="1100313"/>
    <n v="12763"/>
    <n v="86.21"/>
    <x v="25"/>
    <x v="25"/>
    <x v="25"/>
  </r>
  <r>
    <n v="1003"/>
    <x v="0"/>
    <x v="0"/>
    <x v="0"/>
    <d v="2019-11-10T00:00:00"/>
    <n v="18"/>
    <x v="2"/>
    <n v="1460198"/>
    <n v="3188"/>
    <n v="458.03"/>
    <x v="26"/>
    <x v="26"/>
    <x v="26"/>
  </r>
  <r>
    <n v="1003"/>
    <x v="0"/>
    <x v="0"/>
    <x v="0"/>
    <d v="2019-11-10T00:00:00"/>
    <n v="18"/>
    <x v="3"/>
    <n v="1426108"/>
    <n v="7371"/>
    <n v="193.48"/>
    <x v="27"/>
    <x v="27"/>
    <x v="27"/>
  </r>
  <r>
    <n v="1003"/>
    <x v="0"/>
    <x v="0"/>
    <x v="0"/>
    <d v="2019-11-10T00:00:00"/>
    <n v="18"/>
    <x v="4"/>
    <n v="915514"/>
    <n v="10123"/>
    <n v="90.44"/>
    <x v="28"/>
    <x v="28"/>
    <x v="28"/>
  </r>
  <r>
    <n v="1003"/>
    <x v="0"/>
    <x v="0"/>
    <x v="0"/>
    <d v="2019-11-10T00:00:00"/>
    <n v="18"/>
    <x v="5"/>
    <n v="852366"/>
    <n v="11201"/>
    <n v="76.099999999999994"/>
    <x v="29"/>
    <x v="29"/>
    <x v="29"/>
  </r>
  <r>
    <n v="1003"/>
    <x v="0"/>
    <x v="0"/>
    <x v="0"/>
    <d v="2019-11-10T00:00:00"/>
    <n v="18"/>
    <x v="6"/>
    <n v="523159"/>
    <n v="13244"/>
    <n v="39.5"/>
    <x v="30"/>
    <x v="30"/>
    <x v="30"/>
  </r>
  <r>
    <n v="1003"/>
    <x v="0"/>
    <x v="0"/>
    <x v="0"/>
    <d v="2019-11-10T00:00:00"/>
    <n v="18"/>
    <x v="7"/>
    <n v="717146"/>
    <n v="5504"/>
    <n v="130.30000000000001"/>
    <x v="31"/>
    <x v="31"/>
    <x v="31"/>
  </r>
  <r>
    <n v="1003"/>
    <x v="0"/>
    <x v="0"/>
    <x v="0"/>
    <d v="2019-11-10T00:00:00"/>
    <n v="18"/>
    <x v="8"/>
    <n v="1412232"/>
    <n v="3009"/>
    <n v="469.34"/>
    <x v="32"/>
    <x v="32"/>
    <x v="32"/>
  </r>
  <r>
    <n v="1003"/>
    <x v="0"/>
    <x v="0"/>
    <x v="0"/>
    <d v="2019-11-10T00:00:00"/>
    <n v="18"/>
    <x v="9"/>
    <n v="534603"/>
    <n v="8947"/>
    <n v="59.75"/>
    <x v="33"/>
    <x v="33"/>
    <x v="33"/>
  </r>
  <r>
    <n v="1003"/>
    <x v="0"/>
    <x v="0"/>
    <x v="0"/>
    <d v="2019-11-10T00:00:00"/>
    <n v="18"/>
    <x v="10"/>
    <n v="944903"/>
    <n v="6923"/>
    <n v="136.49"/>
    <x v="34"/>
    <x v="34"/>
    <x v="34"/>
  </r>
  <r>
    <n v="1003"/>
    <x v="0"/>
    <x v="0"/>
    <x v="0"/>
    <d v="2019-11-10T00:00:00"/>
    <n v="18"/>
    <x v="11"/>
    <n v="465165"/>
    <n v="4403"/>
    <n v="105.65"/>
    <x v="35"/>
    <x v="35"/>
    <x v="35"/>
  </r>
  <r>
    <n v="1004"/>
    <x v="1"/>
    <x v="1"/>
    <x v="0"/>
    <d v="2019-09-20T00:00:00"/>
    <n v="18"/>
    <x v="0"/>
    <n v="1296739"/>
    <n v="12007"/>
    <n v="108"/>
    <x v="36"/>
    <x v="36"/>
    <x v="36"/>
  </r>
  <r>
    <n v="1004"/>
    <x v="1"/>
    <x v="1"/>
    <x v="0"/>
    <d v="2019-09-20T00:00:00"/>
    <n v="18"/>
    <x v="1"/>
    <n v="1187384"/>
    <n v="6470"/>
    <n v="183.52"/>
    <x v="37"/>
    <x v="37"/>
    <x v="37"/>
  </r>
  <r>
    <n v="1004"/>
    <x v="1"/>
    <x v="1"/>
    <x v="0"/>
    <d v="2019-09-20T00:00:00"/>
    <n v="18"/>
    <x v="2"/>
    <n v="721844"/>
    <n v="14680"/>
    <n v="49.17"/>
    <x v="38"/>
    <x v="38"/>
    <x v="38"/>
  </r>
  <r>
    <n v="1004"/>
    <x v="1"/>
    <x v="1"/>
    <x v="0"/>
    <d v="2019-09-20T00:00:00"/>
    <n v="18"/>
    <x v="3"/>
    <n v="1083119"/>
    <n v="10177"/>
    <n v="106.43"/>
    <x v="39"/>
    <x v="39"/>
    <x v="39"/>
  </r>
  <r>
    <n v="1004"/>
    <x v="1"/>
    <x v="1"/>
    <x v="0"/>
    <d v="2019-09-20T00:00:00"/>
    <n v="18"/>
    <x v="4"/>
    <n v="819895"/>
    <n v="6681"/>
    <n v="122.72"/>
    <x v="40"/>
    <x v="40"/>
    <x v="40"/>
  </r>
  <r>
    <n v="1004"/>
    <x v="1"/>
    <x v="1"/>
    <x v="0"/>
    <d v="2019-09-20T00:00:00"/>
    <n v="18"/>
    <x v="5"/>
    <n v="1461657"/>
    <n v="6770"/>
    <n v="215.9"/>
    <x v="41"/>
    <x v="41"/>
    <x v="41"/>
  </r>
  <r>
    <n v="1004"/>
    <x v="1"/>
    <x v="1"/>
    <x v="0"/>
    <d v="2019-09-20T00:00:00"/>
    <n v="18"/>
    <x v="6"/>
    <n v="423467"/>
    <n v="6750"/>
    <n v="62.74"/>
    <x v="42"/>
    <x v="42"/>
    <x v="42"/>
  </r>
  <r>
    <n v="1004"/>
    <x v="1"/>
    <x v="1"/>
    <x v="0"/>
    <d v="2019-09-20T00:00:00"/>
    <n v="18"/>
    <x v="7"/>
    <n v="992958"/>
    <n v="4160"/>
    <n v="238.69"/>
    <x v="43"/>
    <x v="43"/>
    <x v="43"/>
  </r>
  <r>
    <n v="1004"/>
    <x v="1"/>
    <x v="1"/>
    <x v="0"/>
    <d v="2019-09-20T00:00:00"/>
    <n v="18"/>
    <x v="8"/>
    <n v="1317987"/>
    <n v="6510"/>
    <n v="202.46"/>
    <x v="44"/>
    <x v="44"/>
    <x v="44"/>
  </r>
  <r>
    <n v="1004"/>
    <x v="1"/>
    <x v="1"/>
    <x v="0"/>
    <d v="2019-09-20T00:00:00"/>
    <n v="18"/>
    <x v="9"/>
    <n v="1497564"/>
    <n v="12440"/>
    <n v="120.38"/>
    <x v="45"/>
    <x v="45"/>
    <x v="45"/>
  </r>
  <r>
    <n v="1004"/>
    <x v="1"/>
    <x v="1"/>
    <x v="0"/>
    <d v="2019-09-20T00:00:00"/>
    <n v="18"/>
    <x v="10"/>
    <n v="1153666"/>
    <n v="6119"/>
    <n v="188.54"/>
    <x v="46"/>
    <x v="46"/>
    <x v="46"/>
  </r>
  <r>
    <n v="1004"/>
    <x v="1"/>
    <x v="1"/>
    <x v="0"/>
    <d v="2019-09-20T00:00:00"/>
    <n v="18"/>
    <x v="11"/>
    <n v="1043015"/>
    <n v="9939"/>
    <n v="104.94"/>
    <x v="47"/>
    <x v="47"/>
    <x v="47"/>
  </r>
  <r>
    <n v="1005"/>
    <x v="1"/>
    <x v="1"/>
    <x v="0"/>
    <d v="2022-10-11T00:00:00"/>
    <n v="18"/>
    <x v="0"/>
    <n v="506397"/>
    <n v="3993"/>
    <n v="126.82"/>
    <x v="48"/>
    <x v="48"/>
    <x v="48"/>
  </r>
  <r>
    <n v="1005"/>
    <x v="1"/>
    <x v="1"/>
    <x v="0"/>
    <d v="2022-10-11T00:00:00"/>
    <n v="18"/>
    <x v="1"/>
    <n v="529153"/>
    <n v="7073"/>
    <n v="74.81"/>
    <x v="49"/>
    <x v="49"/>
    <x v="49"/>
  </r>
  <r>
    <n v="1005"/>
    <x v="1"/>
    <x v="1"/>
    <x v="0"/>
    <d v="2022-10-11T00:00:00"/>
    <n v="18"/>
    <x v="2"/>
    <n v="593983"/>
    <n v="9912"/>
    <n v="59.93"/>
    <x v="50"/>
    <x v="50"/>
    <x v="50"/>
  </r>
  <r>
    <n v="1005"/>
    <x v="1"/>
    <x v="1"/>
    <x v="0"/>
    <d v="2022-10-11T00:00:00"/>
    <n v="18"/>
    <x v="3"/>
    <n v="458093"/>
    <n v="10260"/>
    <n v="44.65"/>
    <x v="51"/>
    <x v="51"/>
    <x v="51"/>
  </r>
  <r>
    <n v="1005"/>
    <x v="1"/>
    <x v="1"/>
    <x v="0"/>
    <d v="2022-10-11T00:00:00"/>
    <n v="18"/>
    <x v="4"/>
    <n v="505329"/>
    <n v="3828"/>
    <n v="132.01"/>
    <x v="52"/>
    <x v="52"/>
    <x v="52"/>
  </r>
  <r>
    <n v="1005"/>
    <x v="1"/>
    <x v="1"/>
    <x v="0"/>
    <d v="2022-10-11T00:00:00"/>
    <n v="18"/>
    <x v="5"/>
    <n v="330949"/>
    <n v="4528"/>
    <n v="73.09"/>
    <x v="53"/>
    <x v="53"/>
    <x v="53"/>
  </r>
  <r>
    <n v="1005"/>
    <x v="1"/>
    <x v="1"/>
    <x v="0"/>
    <d v="2022-10-11T00:00:00"/>
    <n v="18"/>
    <x v="6"/>
    <n v="648779"/>
    <n v="9658"/>
    <n v="67.180000000000007"/>
    <x v="54"/>
    <x v="54"/>
    <x v="54"/>
  </r>
  <r>
    <n v="1005"/>
    <x v="1"/>
    <x v="1"/>
    <x v="0"/>
    <d v="2022-10-11T00:00:00"/>
    <n v="18"/>
    <x v="7"/>
    <n v="1141042"/>
    <n v="3960"/>
    <n v="288.14"/>
    <x v="55"/>
    <x v="55"/>
    <x v="55"/>
  </r>
  <r>
    <n v="1005"/>
    <x v="1"/>
    <x v="1"/>
    <x v="0"/>
    <d v="2022-10-11T00:00:00"/>
    <n v="18"/>
    <x v="8"/>
    <n v="1118773"/>
    <n v="7345"/>
    <n v="152.32"/>
    <x v="56"/>
    <x v="56"/>
    <x v="56"/>
  </r>
  <r>
    <n v="1005"/>
    <x v="1"/>
    <x v="1"/>
    <x v="0"/>
    <d v="2022-10-11T00:00:00"/>
    <n v="18"/>
    <x v="9"/>
    <n v="898210"/>
    <n v="9930"/>
    <n v="90.45"/>
    <x v="57"/>
    <x v="57"/>
    <x v="57"/>
  </r>
  <r>
    <n v="1005"/>
    <x v="1"/>
    <x v="1"/>
    <x v="0"/>
    <d v="2022-10-11T00:00:00"/>
    <n v="18"/>
    <x v="10"/>
    <n v="1465530"/>
    <n v="13844"/>
    <n v="105.86"/>
    <x v="58"/>
    <x v="58"/>
    <x v="58"/>
  </r>
  <r>
    <n v="1005"/>
    <x v="1"/>
    <x v="1"/>
    <x v="0"/>
    <d v="2022-10-11T00:00:00"/>
    <n v="18"/>
    <x v="11"/>
    <n v="922241"/>
    <n v="6566"/>
    <n v="140.46"/>
    <x v="59"/>
    <x v="59"/>
    <x v="59"/>
  </r>
  <r>
    <n v="1006"/>
    <x v="1"/>
    <x v="1"/>
    <x v="0"/>
    <d v="2023-03-12T00:00:00"/>
    <n v="13"/>
    <x v="0"/>
    <n v="419884"/>
    <n v="3821"/>
    <n v="109.89"/>
    <x v="60"/>
    <x v="60"/>
    <x v="60"/>
  </r>
  <r>
    <n v="1006"/>
    <x v="1"/>
    <x v="1"/>
    <x v="0"/>
    <d v="2023-03-12T00:00:00"/>
    <n v="13"/>
    <x v="1"/>
    <n v="1413852"/>
    <n v="5579"/>
    <n v="253.42"/>
    <x v="61"/>
    <x v="61"/>
    <x v="61"/>
  </r>
  <r>
    <n v="1006"/>
    <x v="1"/>
    <x v="1"/>
    <x v="0"/>
    <d v="2023-03-12T00:00:00"/>
    <n v="13"/>
    <x v="2"/>
    <n v="689703"/>
    <n v="4122"/>
    <n v="167.32"/>
    <x v="62"/>
    <x v="62"/>
    <x v="62"/>
  </r>
  <r>
    <n v="1006"/>
    <x v="1"/>
    <x v="1"/>
    <x v="0"/>
    <d v="2023-03-12T00:00:00"/>
    <n v="13"/>
    <x v="3"/>
    <n v="793258"/>
    <n v="9615"/>
    <n v="82.5"/>
    <x v="63"/>
    <x v="63"/>
    <x v="63"/>
  </r>
  <r>
    <n v="1006"/>
    <x v="1"/>
    <x v="1"/>
    <x v="0"/>
    <d v="2023-03-12T00:00:00"/>
    <n v="13"/>
    <x v="4"/>
    <n v="816351"/>
    <n v="12485"/>
    <n v="65.39"/>
    <x v="64"/>
    <x v="64"/>
    <x v="64"/>
  </r>
  <r>
    <n v="1006"/>
    <x v="1"/>
    <x v="1"/>
    <x v="0"/>
    <d v="2023-03-12T00:00:00"/>
    <n v="13"/>
    <x v="5"/>
    <n v="1179178"/>
    <n v="13770"/>
    <n v="85.63"/>
    <x v="65"/>
    <x v="65"/>
    <x v="65"/>
  </r>
  <r>
    <n v="1006"/>
    <x v="1"/>
    <x v="1"/>
    <x v="0"/>
    <d v="2023-03-12T00:00:00"/>
    <n v="13"/>
    <x v="6"/>
    <n v="846865"/>
    <n v="6346"/>
    <n v="133.44999999999999"/>
    <x v="66"/>
    <x v="66"/>
    <x v="66"/>
  </r>
  <r>
    <n v="1006"/>
    <x v="1"/>
    <x v="1"/>
    <x v="0"/>
    <d v="2023-03-12T00:00:00"/>
    <n v="13"/>
    <x v="7"/>
    <n v="857034"/>
    <n v="9484"/>
    <n v="90.37"/>
    <x v="67"/>
    <x v="67"/>
    <x v="67"/>
  </r>
  <r>
    <n v="1006"/>
    <x v="1"/>
    <x v="1"/>
    <x v="0"/>
    <d v="2023-03-12T00:00:00"/>
    <n v="13"/>
    <x v="8"/>
    <n v="1258869"/>
    <n v="8180"/>
    <n v="153.9"/>
    <x v="68"/>
    <x v="68"/>
    <x v="68"/>
  </r>
  <r>
    <n v="1006"/>
    <x v="1"/>
    <x v="1"/>
    <x v="0"/>
    <d v="2023-03-12T00:00:00"/>
    <n v="13"/>
    <x v="9"/>
    <n v="319535"/>
    <n v="10508"/>
    <n v="30.41"/>
    <x v="69"/>
    <x v="69"/>
    <x v="69"/>
  </r>
  <r>
    <n v="1006"/>
    <x v="1"/>
    <x v="1"/>
    <x v="0"/>
    <d v="2023-03-12T00:00:00"/>
    <n v="13"/>
    <x v="10"/>
    <n v="509675"/>
    <n v="4200"/>
    <n v="121.35"/>
    <x v="70"/>
    <x v="70"/>
    <x v="70"/>
  </r>
  <r>
    <n v="1006"/>
    <x v="1"/>
    <x v="1"/>
    <x v="0"/>
    <d v="2023-03-12T00:00:00"/>
    <n v="13"/>
    <x v="11"/>
    <n v="577781"/>
    <n v="8718"/>
    <n v="66.27"/>
    <x v="71"/>
    <x v="71"/>
    <x v="71"/>
  </r>
  <r>
    <n v="1007"/>
    <x v="2"/>
    <x v="2"/>
    <x v="1"/>
    <d v="2020-08-06T00:00:00"/>
    <n v="10"/>
    <x v="0"/>
    <n v="1218939"/>
    <n v="11900"/>
    <n v="102.43"/>
    <x v="72"/>
    <x v="72"/>
    <x v="72"/>
  </r>
  <r>
    <n v="1007"/>
    <x v="2"/>
    <x v="2"/>
    <x v="1"/>
    <d v="2020-08-06T00:00:00"/>
    <n v="10"/>
    <x v="1"/>
    <n v="1409269"/>
    <n v="3128"/>
    <n v="450.53"/>
    <x v="73"/>
    <x v="73"/>
    <x v="73"/>
  </r>
  <r>
    <n v="1007"/>
    <x v="2"/>
    <x v="2"/>
    <x v="1"/>
    <d v="2020-08-06T00:00:00"/>
    <n v="10"/>
    <x v="2"/>
    <n v="517236"/>
    <n v="5200"/>
    <n v="99.47"/>
    <x v="74"/>
    <x v="74"/>
    <x v="74"/>
  </r>
  <r>
    <n v="1007"/>
    <x v="2"/>
    <x v="2"/>
    <x v="1"/>
    <d v="2020-08-06T00:00:00"/>
    <n v="10"/>
    <x v="3"/>
    <n v="1460194"/>
    <n v="5546"/>
    <n v="263.29000000000002"/>
    <x v="75"/>
    <x v="75"/>
    <x v="75"/>
  </r>
  <r>
    <n v="1007"/>
    <x v="2"/>
    <x v="2"/>
    <x v="1"/>
    <d v="2020-08-06T00:00:00"/>
    <n v="10"/>
    <x v="4"/>
    <n v="1019072"/>
    <n v="6335"/>
    <n v="160.86000000000001"/>
    <x v="76"/>
    <x v="76"/>
    <x v="76"/>
  </r>
  <r>
    <n v="1007"/>
    <x v="2"/>
    <x v="2"/>
    <x v="1"/>
    <d v="2020-08-06T00:00:00"/>
    <n v="10"/>
    <x v="5"/>
    <n v="1359919"/>
    <n v="11004"/>
    <n v="123.58"/>
    <x v="77"/>
    <x v="77"/>
    <x v="77"/>
  </r>
  <r>
    <n v="1007"/>
    <x v="2"/>
    <x v="2"/>
    <x v="1"/>
    <d v="2020-08-06T00:00:00"/>
    <n v="10"/>
    <x v="6"/>
    <n v="406533"/>
    <n v="4512"/>
    <n v="90.1"/>
    <x v="78"/>
    <x v="78"/>
    <x v="78"/>
  </r>
  <r>
    <n v="1007"/>
    <x v="2"/>
    <x v="2"/>
    <x v="1"/>
    <d v="2020-08-06T00:00:00"/>
    <n v="10"/>
    <x v="7"/>
    <n v="392456"/>
    <n v="3058"/>
    <n v="128.34"/>
    <x v="79"/>
    <x v="79"/>
    <x v="79"/>
  </r>
  <r>
    <n v="1007"/>
    <x v="2"/>
    <x v="2"/>
    <x v="1"/>
    <d v="2020-08-06T00:00:00"/>
    <n v="10"/>
    <x v="8"/>
    <n v="849360"/>
    <n v="5647"/>
    <n v="150.41"/>
    <x v="80"/>
    <x v="80"/>
    <x v="80"/>
  </r>
  <r>
    <n v="1007"/>
    <x v="2"/>
    <x v="2"/>
    <x v="1"/>
    <d v="2020-08-06T00:00:00"/>
    <n v="10"/>
    <x v="9"/>
    <n v="1196924"/>
    <n v="12189"/>
    <n v="98.2"/>
    <x v="81"/>
    <x v="81"/>
    <x v="81"/>
  </r>
  <r>
    <n v="1007"/>
    <x v="2"/>
    <x v="2"/>
    <x v="1"/>
    <d v="2020-08-06T00:00:00"/>
    <n v="10"/>
    <x v="10"/>
    <n v="612589"/>
    <n v="11938"/>
    <n v="51.31"/>
    <x v="82"/>
    <x v="82"/>
    <x v="82"/>
  </r>
  <r>
    <n v="1007"/>
    <x v="2"/>
    <x v="2"/>
    <x v="1"/>
    <d v="2020-08-06T00:00:00"/>
    <n v="10"/>
    <x v="11"/>
    <n v="1458729"/>
    <n v="5426"/>
    <n v="268.83999999999997"/>
    <x v="83"/>
    <x v="83"/>
    <x v="83"/>
  </r>
  <r>
    <n v="1008"/>
    <x v="2"/>
    <x v="2"/>
    <x v="1"/>
    <d v="2023-06-19T00:00:00"/>
    <n v="8"/>
    <x v="0"/>
    <n v="1050380"/>
    <n v="6441"/>
    <n v="163.08000000000001"/>
    <x v="84"/>
    <x v="84"/>
    <x v="84"/>
  </r>
  <r>
    <n v="1008"/>
    <x v="2"/>
    <x v="2"/>
    <x v="1"/>
    <d v="2023-06-19T00:00:00"/>
    <n v="8"/>
    <x v="1"/>
    <n v="1041717"/>
    <n v="12173"/>
    <n v="85.58"/>
    <x v="85"/>
    <x v="85"/>
    <x v="85"/>
  </r>
  <r>
    <n v="1008"/>
    <x v="2"/>
    <x v="2"/>
    <x v="1"/>
    <d v="2023-06-19T00:00:00"/>
    <n v="8"/>
    <x v="2"/>
    <n v="624121"/>
    <n v="6878"/>
    <n v="90.74"/>
    <x v="86"/>
    <x v="86"/>
    <x v="86"/>
  </r>
  <r>
    <n v="1008"/>
    <x v="2"/>
    <x v="2"/>
    <x v="1"/>
    <d v="2023-06-19T00:00:00"/>
    <n v="8"/>
    <x v="3"/>
    <n v="671305"/>
    <n v="9755"/>
    <n v="68.819999999999993"/>
    <x v="87"/>
    <x v="87"/>
    <x v="87"/>
  </r>
  <r>
    <n v="1008"/>
    <x v="2"/>
    <x v="2"/>
    <x v="1"/>
    <d v="2023-06-19T00:00:00"/>
    <n v="8"/>
    <x v="4"/>
    <n v="996643"/>
    <n v="9745"/>
    <n v="102.27"/>
    <x v="88"/>
    <x v="88"/>
    <x v="88"/>
  </r>
  <r>
    <n v="1008"/>
    <x v="2"/>
    <x v="2"/>
    <x v="1"/>
    <d v="2023-06-19T00:00:00"/>
    <n v="8"/>
    <x v="5"/>
    <n v="820444"/>
    <n v="7371"/>
    <n v="111.31"/>
    <x v="89"/>
    <x v="89"/>
    <x v="89"/>
  </r>
  <r>
    <n v="1008"/>
    <x v="2"/>
    <x v="2"/>
    <x v="1"/>
    <d v="2023-06-19T00:00:00"/>
    <n v="8"/>
    <x v="6"/>
    <n v="1102248"/>
    <n v="3634"/>
    <n v="303.32"/>
    <x v="90"/>
    <x v="90"/>
    <x v="90"/>
  </r>
  <r>
    <n v="1008"/>
    <x v="2"/>
    <x v="2"/>
    <x v="1"/>
    <d v="2023-06-19T00:00:00"/>
    <n v="8"/>
    <x v="7"/>
    <n v="1265325"/>
    <n v="8728"/>
    <n v="144.97"/>
    <x v="91"/>
    <x v="91"/>
    <x v="91"/>
  </r>
  <r>
    <n v="1008"/>
    <x v="2"/>
    <x v="2"/>
    <x v="1"/>
    <d v="2023-06-19T00:00:00"/>
    <n v="8"/>
    <x v="8"/>
    <n v="777302"/>
    <n v="6652"/>
    <n v="116.85"/>
    <x v="92"/>
    <x v="92"/>
    <x v="92"/>
  </r>
  <r>
    <n v="1008"/>
    <x v="2"/>
    <x v="2"/>
    <x v="1"/>
    <d v="2023-06-19T00:00:00"/>
    <n v="8"/>
    <x v="9"/>
    <n v="988415"/>
    <n v="7564"/>
    <n v="130.66999999999999"/>
    <x v="93"/>
    <x v="93"/>
    <x v="93"/>
  </r>
  <r>
    <n v="1008"/>
    <x v="2"/>
    <x v="2"/>
    <x v="1"/>
    <d v="2023-06-19T00:00:00"/>
    <n v="8"/>
    <x v="10"/>
    <n v="885367"/>
    <n v="8753"/>
    <n v="101.15"/>
    <x v="94"/>
    <x v="94"/>
    <x v="94"/>
  </r>
  <r>
    <n v="1008"/>
    <x v="2"/>
    <x v="2"/>
    <x v="1"/>
    <d v="2023-06-19T00:00:00"/>
    <n v="8"/>
    <x v="11"/>
    <n v="1424525"/>
    <n v="8425"/>
    <n v="169.08"/>
    <x v="95"/>
    <x v="95"/>
    <x v="95"/>
  </r>
  <r>
    <n v="1009"/>
    <x v="2"/>
    <x v="2"/>
    <x v="1"/>
    <d v="2020-01-01T00:00:00"/>
    <n v="17"/>
    <x v="0"/>
    <n v="856723"/>
    <n v="3626"/>
    <n v="236.27"/>
    <x v="96"/>
    <x v="96"/>
    <x v="96"/>
  </r>
  <r>
    <n v="1009"/>
    <x v="2"/>
    <x v="2"/>
    <x v="1"/>
    <d v="2020-01-01T00:00:00"/>
    <n v="17"/>
    <x v="1"/>
    <n v="957829"/>
    <n v="10149"/>
    <n v="94.38"/>
    <x v="97"/>
    <x v="97"/>
    <x v="97"/>
  </r>
  <r>
    <n v="1009"/>
    <x v="2"/>
    <x v="2"/>
    <x v="1"/>
    <d v="2020-01-01T00:00:00"/>
    <n v="17"/>
    <x v="2"/>
    <n v="1107813"/>
    <n v="12446"/>
    <n v="89.01"/>
    <x v="98"/>
    <x v="98"/>
    <x v="98"/>
  </r>
  <r>
    <n v="1009"/>
    <x v="2"/>
    <x v="2"/>
    <x v="1"/>
    <d v="2020-01-01T00:00:00"/>
    <n v="17"/>
    <x v="3"/>
    <n v="1214478"/>
    <n v="3027"/>
    <n v="401.22"/>
    <x v="99"/>
    <x v="99"/>
    <x v="99"/>
  </r>
  <r>
    <n v="1009"/>
    <x v="2"/>
    <x v="2"/>
    <x v="1"/>
    <d v="2020-01-01T00:00:00"/>
    <n v="17"/>
    <x v="4"/>
    <n v="713212"/>
    <n v="8967"/>
    <n v="79.540000000000006"/>
    <x v="100"/>
    <x v="100"/>
    <x v="100"/>
  </r>
  <r>
    <n v="1009"/>
    <x v="2"/>
    <x v="2"/>
    <x v="1"/>
    <d v="2020-01-01T00:00:00"/>
    <n v="17"/>
    <x v="5"/>
    <n v="992479"/>
    <n v="13209"/>
    <n v="75.14"/>
    <x v="101"/>
    <x v="101"/>
    <x v="101"/>
  </r>
  <r>
    <n v="1009"/>
    <x v="2"/>
    <x v="2"/>
    <x v="1"/>
    <d v="2020-01-01T00:00:00"/>
    <n v="17"/>
    <x v="6"/>
    <n v="929821"/>
    <n v="11308"/>
    <n v="82.23"/>
    <x v="102"/>
    <x v="102"/>
    <x v="102"/>
  </r>
  <r>
    <n v="1009"/>
    <x v="2"/>
    <x v="2"/>
    <x v="1"/>
    <d v="2020-01-01T00:00:00"/>
    <n v="17"/>
    <x v="7"/>
    <n v="1143894"/>
    <n v="14423"/>
    <n v="79.31"/>
    <x v="103"/>
    <x v="103"/>
    <x v="103"/>
  </r>
  <r>
    <n v="1009"/>
    <x v="2"/>
    <x v="2"/>
    <x v="1"/>
    <d v="2020-01-01T00:00:00"/>
    <n v="17"/>
    <x v="8"/>
    <n v="1181739"/>
    <n v="13894"/>
    <n v="85.05"/>
    <x v="104"/>
    <x v="104"/>
    <x v="104"/>
  </r>
  <r>
    <n v="1009"/>
    <x v="2"/>
    <x v="2"/>
    <x v="1"/>
    <d v="2020-01-01T00:00:00"/>
    <n v="17"/>
    <x v="9"/>
    <n v="664961"/>
    <n v="13084"/>
    <n v="50.82"/>
    <x v="105"/>
    <x v="105"/>
    <x v="105"/>
  </r>
  <r>
    <n v="1009"/>
    <x v="2"/>
    <x v="2"/>
    <x v="1"/>
    <d v="2020-01-01T00:00:00"/>
    <n v="17"/>
    <x v="10"/>
    <n v="300851"/>
    <n v="7978"/>
    <n v="37.71"/>
    <x v="106"/>
    <x v="106"/>
    <x v="106"/>
  </r>
  <r>
    <n v="1009"/>
    <x v="2"/>
    <x v="2"/>
    <x v="1"/>
    <d v="2020-01-01T00:00:00"/>
    <n v="17"/>
    <x v="11"/>
    <n v="975805"/>
    <n v="10618"/>
    <n v="91.9"/>
    <x v="107"/>
    <x v="107"/>
    <x v="107"/>
  </r>
  <r>
    <n v="1010"/>
    <x v="3"/>
    <x v="3"/>
    <x v="1"/>
    <d v="2023-06-14T00:00:00"/>
    <n v="20"/>
    <x v="0"/>
    <n v="655868"/>
    <n v="13794"/>
    <n v="47.55"/>
    <x v="108"/>
    <x v="108"/>
    <x v="108"/>
  </r>
  <r>
    <n v="1010"/>
    <x v="3"/>
    <x v="3"/>
    <x v="1"/>
    <d v="2023-06-14T00:00:00"/>
    <n v="20"/>
    <x v="1"/>
    <n v="1002940"/>
    <n v="4530"/>
    <n v="221.4"/>
    <x v="109"/>
    <x v="109"/>
    <x v="109"/>
  </r>
  <r>
    <n v="1010"/>
    <x v="3"/>
    <x v="3"/>
    <x v="1"/>
    <d v="2023-06-14T00:00:00"/>
    <n v="20"/>
    <x v="2"/>
    <n v="950996"/>
    <n v="6680"/>
    <n v="142.36000000000001"/>
    <x v="110"/>
    <x v="110"/>
    <x v="110"/>
  </r>
  <r>
    <n v="1010"/>
    <x v="3"/>
    <x v="3"/>
    <x v="1"/>
    <d v="2023-06-14T00:00:00"/>
    <n v="20"/>
    <x v="3"/>
    <n v="396917"/>
    <n v="7011"/>
    <n v="56.61"/>
    <x v="111"/>
    <x v="111"/>
    <x v="111"/>
  </r>
  <r>
    <n v="1010"/>
    <x v="3"/>
    <x v="3"/>
    <x v="1"/>
    <d v="2023-06-14T00:00:00"/>
    <n v="20"/>
    <x v="4"/>
    <n v="452731"/>
    <n v="10461"/>
    <n v="43.28"/>
    <x v="112"/>
    <x v="112"/>
    <x v="112"/>
  </r>
  <r>
    <n v="1010"/>
    <x v="3"/>
    <x v="3"/>
    <x v="1"/>
    <d v="2023-06-14T00:00:00"/>
    <n v="20"/>
    <x v="5"/>
    <n v="707760"/>
    <n v="14769"/>
    <n v="47.92"/>
    <x v="113"/>
    <x v="113"/>
    <x v="113"/>
  </r>
  <r>
    <n v="1010"/>
    <x v="3"/>
    <x v="3"/>
    <x v="1"/>
    <d v="2023-06-14T00:00:00"/>
    <n v="20"/>
    <x v="6"/>
    <n v="811672"/>
    <n v="5417"/>
    <n v="149.84"/>
    <x v="114"/>
    <x v="114"/>
    <x v="114"/>
  </r>
  <r>
    <n v="1010"/>
    <x v="3"/>
    <x v="3"/>
    <x v="1"/>
    <d v="2023-06-14T00:00:00"/>
    <n v="20"/>
    <x v="7"/>
    <n v="523529"/>
    <n v="9965"/>
    <n v="52.54"/>
    <x v="115"/>
    <x v="115"/>
    <x v="115"/>
  </r>
  <r>
    <n v="1010"/>
    <x v="3"/>
    <x v="3"/>
    <x v="1"/>
    <d v="2023-06-14T00:00:00"/>
    <n v="20"/>
    <x v="8"/>
    <n v="1386236"/>
    <n v="10611"/>
    <n v="130.63999999999999"/>
    <x v="116"/>
    <x v="116"/>
    <x v="116"/>
  </r>
  <r>
    <n v="1010"/>
    <x v="3"/>
    <x v="3"/>
    <x v="1"/>
    <d v="2023-06-14T00:00:00"/>
    <n v="20"/>
    <x v="9"/>
    <n v="554507"/>
    <n v="10478"/>
    <n v="52.92"/>
    <x v="117"/>
    <x v="117"/>
    <x v="117"/>
  </r>
  <r>
    <n v="1010"/>
    <x v="3"/>
    <x v="3"/>
    <x v="1"/>
    <d v="2023-06-14T00:00:00"/>
    <n v="20"/>
    <x v="10"/>
    <n v="1413864"/>
    <n v="12157"/>
    <n v="116.3"/>
    <x v="118"/>
    <x v="118"/>
    <x v="118"/>
  </r>
  <r>
    <n v="1010"/>
    <x v="3"/>
    <x v="3"/>
    <x v="1"/>
    <d v="2023-06-14T00:00:00"/>
    <n v="20"/>
    <x v="11"/>
    <n v="1228143"/>
    <n v="13037"/>
    <n v="94.2"/>
    <x v="119"/>
    <x v="119"/>
    <x v="119"/>
  </r>
  <r>
    <n v="1011"/>
    <x v="3"/>
    <x v="3"/>
    <x v="1"/>
    <d v="2023-08-29T00:00:00"/>
    <n v="16"/>
    <x v="0"/>
    <n v="1235148"/>
    <n v="5607"/>
    <n v="220.29"/>
    <x v="120"/>
    <x v="120"/>
    <x v="120"/>
  </r>
  <r>
    <n v="1011"/>
    <x v="3"/>
    <x v="3"/>
    <x v="1"/>
    <d v="2023-08-29T00:00:00"/>
    <n v="16"/>
    <x v="1"/>
    <n v="843564"/>
    <n v="7050"/>
    <n v="119.65"/>
    <x v="121"/>
    <x v="121"/>
    <x v="121"/>
  </r>
  <r>
    <n v="1011"/>
    <x v="3"/>
    <x v="3"/>
    <x v="1"/>
    <d v="2023-08-29T00:00:00"/>
    <n v="16"/>
    <x v="2"/>
    <n v="1393244"/>
    <n v="10939"/>
    <n v="127.36"/>
    <x v="122"/>
    <x v="122"/>
    <x v="122"/>
  </r>
  <r>
    <n v="1011"/>
    <x v="3"/>
    <x v="3"/>
    <x v="1"/>
    <d v="2023-08-29T00:00:00"/>
    <n v="16"/>
    <x v="3"/>
    <n v="462494"/>
    <n v="14690"/>
    <n v="31.48"/>
    <x v="123"/>
    <x v="123"/>
    <x v="123"/>
  </r>
  <r>
    <n v="1011"/>
    <x v="3"/>
    <x v="3"/>
    <x v="1"/>
    <d v="2023-08-29T00:00:00"/>
    <n v="16"/>
    <x v="4"/>
    <n v="970479"/>
    <n v="11849"/>
    <n v="81.900000000000006"/>
    <x v="124"/>
    <x v="124"/>
    <x v="124"/>
  </r>
  <r>
    <n v="1011"/>
    <x v="3"/>
    <x v="3"/>
    <x v="1"/>
    <d v="2023-08-29T00:00:00"/>
    <n v="16"/>
    <x v="5"/>
    <n v="1103283"/>
    <n v="14369"/>
    <n v="76.78"/>
    <x v="125"/>
    <x v="125"/>
    <x v="125"/>
  </r>
  <r>
    <n v="1011"/>
    <x v="3"/>
    <x v="3"/>
    <x v="1"/>
    <d v="2023-08-29T00:00:00"/>
    <n v="16"/>
    <x v="6"/>
    <n v="1170041"/>
    <n v="9678"/>
    <n v="120.9"/>
    <x v="126"/>
    <x v="126"/>
    <x v="126"/>
  </r>
  <r>
    <n v="1011"/>
    <x v="3"/>
    <x v="3"/>
    <x v="1"/>
    <d v="2023-08-29T00:00:00"/>
    <n v="16"/>
    <x v="7"/>
    <n v="430580"/>
    <n v="6388"/>
    <n v="67.400000000000006"/>
    <x v="127"/>
    <x v="127"/>
    <x v="127"/>
  </r>
  <r>
    <n v="1011"/>
    <x v="3"/>
    <x v="3"/>
    <x v="1"/>
    <d v="2023-08-29T00:00:00"/>
    <n v="16"/>
    <x v="8"/>
    <n v="340961"/>
    <n v="12432"/>
    <n v="27.43"/>
    <x v="128"/>
    <x v="128"/>
    <x v="128"/>
  </r>
  <r>
    <n v="1011"/>
    <x v="3"/>
    <x v="3"/>
    <x v="1"/>
    <d v="2023-08-29T00:00:00"/>
    <n v="16"/>
    <x v="9"/>
    <n v="1037691"/>
    <n v="7892"/>
    <n v="131.49"/>
    <x v="129"/>
    <x v="129"/>
    <x v="129"/>
  </r>
  <r>
    <n v="1011"/>
    <x v="3"/>
    <x v="3"/>
    <x v="1"/>
    <d v="2023-08-29T00:00:00"/>
    <n v="16"/>
    <x v="10"/>
    <n v="1178751"/>
    <n v="11818"/>
    <n v="99.74"/>
    <x v="130"/>
    <x v="130"/>
    <x v="130"/>
  </r>
  <r>
    <n v="1011"/>
    <x v="3"/>
    <x v="3"/>
    <x v="1"/>
    <d v="2023-08-29T00:00:00"/>
    <n v="16"/>
    <x v="11"/>
    <n v="762503"/>
    <n v="10999"/>
    <n v="69.319999999999993"/>
    <x v="131"/>
    <x v="131"/>
    <x v="131"/>
  </r>
  <r>
    <n v="1012"/>
    <x v="3"/>
    <x v="3"/>
    <x v="0"/>
    <d v="2021-03-07T00:00:00"/>
    <n v="13"/>
    <x v="0"/>
    <n v="1147913"/>
    <n v="14864"/>
    <n v="77.23"/>
    <x v="132"/>
    <x v="132"/>
    <x v="132"/>
  </r>
  <r>
    <n v="1012"/>
    <x v="3"/>
    <x v="3"/>
    <x v="0"/>
    <d v="2021-03-07T00:00:00"/>
    <n v="13"/>
    <x v="1"/>
    <n v="567654"/>
    <n v="13195"/>
    <n v="43.02"/>
    <x v="133"/>
    <x v="133"/>
    <x v="133"/>
  </r>
  <r>
    <n v="1012"/>
    <x v="3"/>
    <x v="3"/>
    <x v="0"/>
    <d v="2021-03-07T00:00:00"/>
    <n v="13"/>
    <x v="2"/>
    <n v="1483615"/>
    <n v="13862"/>
    <n v="107.03"/>
    <x v="134"/>
    <x v="134"/>
    <x v="134"/>
  </r>
  <r>
    <n v="1012"/>
    <x v="3"/>
    <x v="3"/>
    <x v="0"/>
    <d v="2021-03-07T00:00:00"/>
    <n v="13"/>
    <x v="3"/>
    <n v="584582"/>
    <n v="10564"/>
    <n v="55.34"/>
    <x v="135"/>
    <x v="135"/>
    <x v="135"/>
  </r>
  <r>
    <n v="1012"/>
    <x v="3"/>
    <x v="3"/>
    <x v="0"/>
    <d v="2021-03-07T00:00:00"/>
    <n v="13"/>
    <x v="4"/>
    <n v="986508"/>
    <n v="6467"/>
    <n v="152.54"/>
    <x v="136"/>
    <x v="136"/>
    <x v="136"/>
  </r>
  <r>
    <n v="1012"/>
    <x v="3"/>
    <x v="3"/>
    <x v="0"/>
    <d v="2021-03-07T00:00:00"/>
    <n v="13"/>
    <x v="5"/>
    <n v="1095085"/>
    <n v="7558"/>
    <n v="144.88999999999999"/>
    <x v="137"/>
    <x v="137"/>
    <x v="137"/>
  </r>
  <r>
    <n v="1012"/>
    <x v="3"/>
    <x v="3"/>
    <x v="0"/>
    <d v="2021-03-07T00:00:00"/>
    <n v="13"/>
    <x v="6"/>
    <n v="829051"/>
    <n v="4341"/>
    <n v="190.98"/>
    <x v="138"/>
    <x v="138"/>
    <x v="138"/>
  </r>
  <r>
    <n v="1012"/>
    <x v="3"/>
    <x v="3"/>
    <x v="0"/>
    <d v="2021-03-07T00:00:00"/>
    <n v="13"/>
    <x v="7"/>
    <n v="409231"/>
    <n v="8733"/>
    <n v="46.86"/>
    <x v="139"/>
    <x v="139"/>
    <x v="139"/>
  </r>
  <r>
    <n v="1012"/>
    <x v="3"/>
    <x v="3"/>
    <x v="0"/>
    <d v="2021-03-07T00:00:00"/>
    <n v="13"/>
    <x v="8"/>
    <n v="384427"/>
    <n v="3508"/>
    <n v="109.59"/>
    <x v="140"/>
    <x v="140"/>
    <x v="140"/>
  </r>
  <r>
    <n v="1012"/>
    <x v="3"/>
    <x v="3"/>
    <x v="0"/>
    <d v="2021-03-07T00:00:00"/>
    <n v="13"/>
    <x v="9"/>
    <n v="342739"/>
    <n v="13179"/>
    <n v="26.01"/>
    <x v="141"/>
    <x v="141"/>
    <x v="141"/>
  </r>
  <r>
    <n v="1012"/>
    <x v="3"/>
    <x v="3"/>
    <x v="0"/>
    <d v="2021-03-07T00:00:00"/>
    <n v="13"/>
    <x v="10"/>
    <n v="539892"/>
    <n v="12240"/>
    <n v="44.11"/>
    <x v="142"/>
    <x v="142"/>
    <x v="142"/>
  </r>
  <r>
    <n v="1012"/>
    <x v="3"/>
    <x v="3"/>
    <x v="0"/>
    <d v="2021-03-07T00:00:00"/>
    <n v="13"/>
    <x v="11"/>
    <n v="837381"/>
    <n v="9043"/>
    <n v="92.6"/>
    <x v="143"/>
    <x v="143"/>
    <x v="143"/>
  </r>
  <r>
    <n v="1013"/>
    <x v="4"/>
    <x v="4"/>
    <x v="0"/>
    <d v="2023-05-12T00:00:00"/>
    <n v="10"/>
    <x v="0"/>
    <n v="952295"/>
    <n v="4771"/>
    <n v="199.6"/>
    <x v="144"/>
    <x v="144"/>
    <x v="144"/>
  </r>
  <r>
    <n v="1013"/>
    <x v="4"/>
    <x v="4"/>
    <x v="0"/>
    <d v="2023-05-12T00:00:00"/>
    <n v="10"/>
    <x v="1"/>
    <n v="1087075"/>
    <n v="9498"/>
    <n v="114.45"/>
    <x v="145"/>
    <x v="145"/>
    <x v="145"/>
  </r>
  <r>
    <n v="1013"/>
    <x v="4"/>
    <x v="4"/>
    <x v="0"/>
    <d v="2023-05-12T00:00:00"/>
    <n v="10"/>
    <x v="2"/>
    <n v="809292"/>
    <n v="4669"/>
    <n v="173.33"/>
    <x v="146"/>
    <x v="146"/>
    <x v="146"/>
  </r>
  <r>
    <n v="1013"/>
    <x v="4"/>
    <x v="4"/>
    <x v="0"/>
    <d v="2023-05-12T00:00:00"/>
    <n v="10"/>
    <x v="3"/>
    <n v="553870"/>
    <n v="12272"/>
    <n v="45.13"/>
    <x v="147"/>
    <x v="147"/>
    <x v="147"/>
  </r>
  <r>
    <n v="1013"/>
    <x v="4"/>
    <x v="4"/>
    <x v="0"/>
    <d v="2023-05-12T00:00:00"/>
    <n v="10"/>
    <x v="4"/>
    <n v="1198373"/>
    <n v="13838"/>
    <n v="86.6"/>
    <x v="148"/>
    <x v="148"/>
    <x v="148"/>
  </r>
  <r>
    <n v="1013"/>
    <x v="4"/>
    <x v="4"/>
    <x v="0"/>
    <d v="2023-05-12T00:00:00"/>
    <n v="10"/>
    <x v="5"/>
    <n v="1015613"/>
    <n v="3207"/>
    <n v="316.69"/>
    <x v="149"/>
    <x v="149"/>
    <x v="149"/>
  </r>
  <r>
    <n v="1013"/>
    <x v="4"/>
    <x v="4"/>
    <x v="0"/>
    <d v="2023-05-12T00:00:00"/>
    <n v="10"/>
    <x v="6"/>
    <n v="521331"/>
    <n v="10102"/>
    <n v="51.61"/>
    <x v="150"/>
    <x v="150"/>
    <x v="150"/>
  </r>
  <r>
    <n v="1013"/>
    <x v="4"/>
    <x v="4"/>
    <x v="0"/>
    <d v="2023-05-12T00:00:00"/>
    <n v="10"/>
    <x v="7"/>
    <n v="1264143"/>
    <n v="14588"/>
    <n v="86.66"/>
    <x v="151"/>
    <x v="151"/>
    <x v="151"/>
  </r>
  <r>
    <n v="1013"/>
    <x v="4"/>
    <x v="4"/>
    <x v="0"/>
    <d v="2023-05-12T00:00:00"/>
    <n v="10"/>
    <x v="8"/>
    <n v="1394182"/>
    <n v="13657"/>
    <n v="102.09"/>
    <x v="152"/>
    <x v="152"/>
    <x v="152"/>
  </r>
  <r>
    <n v="1013"/>
    <x v="4"/>
    <x v="4"/>
    <x v="0"/>
    <d v="2023-05-12T00:00:00"/>
    <n v="10"/>
    <x v="9"/>
    <n v="1428630"/>
    <n v="10921"/>
    <n v="130.81"/>
    <x v="153"/>
    <x v="153"/>
    <x v="153"/>
  </r>
  <r>
    <n v="1013"/>
    <x v="4"/>
    <x v="4"/>
    <x v="0"/>
    <d v="2023-05-12T00:00:00"/>
    <n v="10"/>
    <x v="10"/>
    <n v="862866"/>
    <n v="8280"/>
    <n v="104.21"/>
    <x v="154"/>
    <x v="154"/>
    <x v="154"/>
  </r>
  <r>
    <n v="1013"/>
    <x v="4"/>
    <x v="4"/>
    <x v="0"/>
    <d v="2023-05-12T00:00:00"/>
    <n v="10"/>
    <x v="11"/>
    <n v="481745"/>
    <n v="7569"/>
    <n v="63.65"/>
    <x v="155"/>
    <x v="155"/>
    <x v="155"/>
  </r>
  <r>
    <n v="1014"/>
    <x v="4"/>
    <x v="4"/>
    <x v="1"/>
    <d v="2022-03-13T00:00:00"/>
    <n v="17"/>
    <x v="0"/>
    <n v="1094798"/>
    <n v="8511"/>
    <n v="128.63"/>
    <x v="156"/>
    <x v="156"/>
    <x v="156"/>
  </r>
  <r>
    <n v="1014"/>
    <x v="4"/>
    <x v="4"/>
    <x v="1"/>
    <d v="2022-03-13T00:00:00"/>
    <n v="17"/>
    <x v="1"/>
    <n v="681345"/>
    <n v="10988"/>
    <n v="62.01"/>
    <x v="157"/>
    <x v="157"/>
    <x v="157"/>
  </r>
  <r>
    <n v="1014"/>
    <x v="4"/>
    <x v="4"/>
    <x v="1"/>
    <d v="2022-03-13T00:00:00"/>
    <n v="17"/>
    <x v="2"/>
    <n v="1013742"/>
    <n v="7581"/>
    <n v="133.72"/>
    <x v="158"/>
    <x v="158"/>
    <x v="158"/>
  </r>
  <r>
    <n v="1014"/>
    <x v="4"/>
    <x v="4"/>
    <x v="1"/>
    <d v="2022-03-13T00:00:00"/>
    <n v="17"/>
    <x v="3"/>
    <n v="879377"/>
    <n v="12106"/>
    <n v="72.64"/>
    <x v="159"/>
    <x v="159"/>
    <x v="159"/>
  </r>
  <r>
    <n v="1014"/>
    <x v="4"/>
    <x v="4"/>
    <x v="1"/>
    <d v="2022-03-13T00:00:00"/>
    <n v="17"/>
    <x v="4"/>
    <n v="479543"/>
    <n v="6954"/>
    <n v="68.959999999999994"/>
    <x v="160"/>
    <x v="160"/>
    <x v="160"/>
  </r>
  <r>
    <n v="1014"/>
    <x v="4"/>
    <x v="4"/>
    <x v="1"/>
    <d v="2022-03-13T00:00:00"/>
    <n v="17"/>
    <x v="5"/>
    <n v="803995"/>
    <n v="14314"/>
    <n v="56.17"/>
    <x v="161"/>
    <x v="161"/>
    <x v="161"/>
  </r>
  <r>
    <n v="1014"/>
    <x v="4"/>
    <x v="4"/>
    <x v="1"/>
    <d v="2022-03-13T00:00:00"/>
    <n v="17"/>
    <x v="6"/>
    <n v="1239890"/>
    <n v="3282"/>
    <n v="377.78"/>
    <x v="162"/>
    <x v="162"/>
    <x v="162"/>
  </r>
  <r>
    <n v="1014"/>
    <x v="4"/>
    <x v="4"/>
    <x v="1"/>
    <d v="2022-03-13T00:00:00"/>
    <n v="17"/>
    <x v="7"/>
    <n v="810247"/>
    <n v="8016"/>
    <n v="101.08"/>
    <x v="163"/>
    <x v="163"/>
    <x v="163"/>
  </r>
  <r>
    <n v="1014"/>
    <x v="4"/>
    <x v="4"/>
    <x v="1"/>
    <d v="2022-03-13T00:00:00"/>
    <n v="17"/>
    <x v="8"/>
    <n v="1460716"/>
    <n v="11698"/>
    <n v="124.87"/>
    <x v="164"/>
    <x v="164"/>
    <x v="164"/>
  </r>
  <r>
    <n v="1014"/>
    <x v="4"/>
    <x v="4"/>
    <x v="1"/>
    <d v="2022-03-13T00:00:00"/>
    <n v="17"/>
    <x v="9"/>
    <n v="1454248"/>
    <n v="8419"/>
    <n v="172.73"/>
    <x v="165"/>
    <x v="165"/>
    <x v="165"/>
  </r>
  <r>
    <n v="1014"/>
    <x v="4"/>
    <x v="4"/>
    <x v="1"/>
    <d v="2022-03-13T00:00:00"/>
    <n v="17"/>
    <x v="10"/>
    <n v="943035"/>
    <n v="7118"/>
    <n v="132.49"/>
    <x v="166"/>
    <x v="166"/>
    <x v="166"/>
  </r>
  <r>
    <n v="1014"/>
    <x v="4"/>
    <x v="4"/>
    <x v="1"/>
    <d v="2022-03-13T00:00:00"/>
    <n v="17"/>
    <x v="11"/>
    <n v="961752"/>
    <n v="4958"/>
    <n v="193.98"/>
    <x v="167"/>
    <x v="167"/>
    <x v="167"/>
  </r>
  <r>
    <n v="1015"/>
    <x v="4"/>
    <x v="4"/>
    <x v="0"/>
    <d v="2020-01-28T00:00:00"/>
    <n v="11"/>
    <x v="0"/>
    <n v="1315438"/>
    <n v="7530"/>
    <n v="174.69"/>
    <x v="168"/>
    <x v="168"/>
    <x v="168"/>
  </r>
  <r>
    <n v="1015"/>
    <x v="4"/>
    <x v="4"/>
    <x v="0"/>
    <d v="2020-01-28T00:00:00"/>
    <n v="11"/>
    <x v="1"/>
    <n v="1400243"/>
    <n v="12777"/>
    <n v="109.59"/>
    <x v="169"/>
    <x v="169"/>
    <x v="169"/>
  </r>
  <r>
    <n v="1015"/>
    <x v="4"/>
    <x v="4"/>
    <x v="0"/>
    <d v="2020-01-28T00:00:00"/>
    <n v="11"/>
    <x v="2"/>
    <n v="707094"/>
    <n v="7853"/>
    <n v="90.04"/>
    <x v="170"/>
    <x v="170"/>
    <x v="170"/>
  </r>
  <r>
    <n v="1015"/>
    <x v="4"/>
    <x v="4"/>
    <x v="0"/>
    <d v="2020-01-28T00:00:00"/>
    <n v="11"/>
    <x v="3"/>
    <n v="329671"/>
    <n v="14600"/>
    <n v="22.58"/>
    <x v="171"/>
    <x v="171"/>
    <x v="171"/>
  </r>
  <r>
    <n v="1015"/>
    <x v="4"/>
    <x v="4"/>
    <x v="0"/>
    <d v="2020-01-28T00:00:00"/>
    <n v="11"/>
    <x v="4"/>
    <n v="414349"/>
    <n v="12066"/>
    <n v="34.340000000000003"/>
    <x v="172"/>
    <x v="172"/>
    <x v="172"/>
  </r>
  <r>
    <n v="1015"/>
    <x v="4"/>
    <x v="4"/>
    <x v="0"/>
    <d v="2020-01-28T00:00:00"/>
    <n v="11"/>
    <x v="5"/>
    <n v="1329447"/>
    <n v="4680"/>
    <n v="284.07"/>
    <x v="173"/>
    <x v="173"/>
    <x v="173"/>
  </r>
  <r>
    <n v="1015"/>
    <x v="4"/>
    <x v="4"/>
    <x v="0"/>
    <d v="2020-01-28T00:00:00"/>
    <n v="11"/>
    <x v="6"/>
    <n v="1284396"/>
    <n v="10843"/>
    <n v="118.45"/>
    <x v="174"/>
    <x v="174"/>
    <x v="174"/>
  </r>
  <r>
    <n v="1015"/>
    <x v="4"/>
    <x v="4"/>
    <x v="0"/>
    <d v="2020-01-28T00:00:00"/>
    <n v="11"/>
    <x v="7"/>
    <n v="407744"/>
    <n v="7136"/>
    <n v="57.14"/>
    <x v="175"/>
    <x v="175"/>
    <x v="175"/>
  </r>
  <r>
    <n v="1015"/>
    <x v="4"/>
    <x v="4"/>
    <x v="0"/>
    <d v="2020-01-28T00:00:00"/>
    <n v="11"/>
    <x v="8"/>
    <n v="437035"/>
    <n v="9565"/>
    <n v="45.69"/>
    <x v="176"/>
    <x v="176"/>
    <x v="176"/>
  </r>
  <r>
    <n v="1015"/>
    <x v="4"/>
    <x v="4"/>
    <x v="0"/>
    <d v="2020-01-28T00:00:00"/>
    <n v="11"/>
    <x v="9"/>
    <n v="412426"/>
    <n v="5485"/>
    <n v="75.19"/>
    <x v="177"/>
    <x v="177"/>
    <x v="177"/>
  </r>
  <r>
    <n v="1015"/>
    <x v="4"/>
    <x v="4"/>
    <x v="0"/>
    <d v="2020-01-28T00:00:00"/>
    <n v="11"/>
    <x v="10"/>
    <n v="937189"/>
    <n v="4395"/>
    <n v="213.24"/>
    <x v="178"/>
    <x v="178"/>
    <x v="178"/>
  </r>
  <r>
    <n v="1015"/>
    <x v="4"/>
    <x v="4"/>
    <x v="0"/>
    <d v="2020-01-28T00:00:00"/>
    <n v="11"/>
    <x v="11"/>
    <n v="1172780"/>
    <n v="12933"/>
    <n v="90.68"/>
    <x v="179"/>
    <x v="179"/>
    <x v="179"/>
  </r>
  <r>
    <n v="1016"/>
    <x v="5"/>
    <x v="5"/>
    <x v="1"/>
    <d v="2021-07-11T00:00:00"/>
    <n v="15"/>
    <x v="0"/>
    <n v="923594"/>
    <n v="12642"/>
    <n v="73.06"/>
    <x v="180"/>
    <x v="180"/>
    <x v="180"/>
  </r>
  <r>
    <n v="1016"/>
    <x v="5"/>
    <x v="5"/>
    <x v="1"/>
    <d v="2021-07-11T00:00:00"/>
    <n v="15"/>
    <x v="1"/>
    <n v="426312"/>
    <n v="12988"/>
    <n v="32.82"/>
    <x v="181"/>
    <x v="181"/>
    <x v="181"/>
  </r>
  <r>
    <n v="1016"/>
    <x v="5"/>
    <x v="5"/>
    <x v="1"/>
    <d v="2021-07-11T00:00:00"/>
    <n v="15"/>
    <x v="2"/>
    <n v="735762"/>
    <n v="13248"/>
    <n v="55.54"/>
    <x v="182"/>
    <x v="182"/>
    <x v="182"/>
  </r>
  <r>
    <n v="1016"/>
    <x v="5"/>
    <x v="5"/>
    <x v="1"/>
    <d v="2021-07-11T00:00:00"/>
    <n v="15"/>
    <x v="3"/>
    <n v="629372"/>
    <n v="6929"/>
    <n v="90.83"/>
    <x v="183"/>
    <x v="183"/>
    <x v="183"/>
  </r>
  <r>
    <n v="1016"/>
    <x v="5"/>
    <x v="5"/>
    <x v="1"/>
    <d v="2021-07-11T00:00:00"/>
    <n v="15"/>
    <x v="4"/>
    <n v="305611"/>
    <n v="9693"/>
    <n v="31.53"/>
    <x v="184"/>
    <x v="184"/>
    <x v="184"/>
  </r>
  <r>
    <n v="1016"/>
    <x v="5"/>
    <x v="5"/>
    <x v="1"/>
    <d v="2021-07-11T00:00:00"/>
    <n v="15"/>
    <x v="5"/>
    <n v="910815"/>
    <n v="3534"/>
    <n v="257.73"/>
    <x v="185"/>
    <x v="185"/>
    <x v="185"/>
  </r>
  <r>
    <n v="1016"/>
    <x v="5"/>
    <x v="5"/>
    <x v="1"/>
    <d v="2021-07-11T00:00:00"/>
    <n v="15"/>
    <x v="6"/>
    <n v="1252172"/>
    <n v="4166"/>
    <n v="300.57"/>
    <x v="186"/>
    <x v="186"/>
    <x v="186"/>
  </r>
  <r>
    <n v="1016"/>
    <x v="5"/>
    <x v="5"/>
    <x v="1"/>
    <d v="2021-07-11T00:00:00"/>
    <n v="15"/>
    <x v="7"/>
    <n v="714856"/>
    <n v="9965"/>
    <n v="71.739999999999995"/>
    <x v="187"/>
    <x v="187"/>
    <x v="187"/>
  </r>
  <r>
    <n v="1016"/>
    <x v="5"/>
    <x v="5"/>
    <x v="1"/>
    <d v="2021-07-11T00:00:00"/>
    <n v="15"/>
    <x v="8"/>
    <n v="612453"/>
    <n v="7352"/>
    <n v="83.3"/>
    <x v="188"/>
    <x v="188"/>
    <x v="188"/>
  </r>
  <r>
    <n v="1016"/>
    <x v="5"/>
    <x v="5"/>
    <x v="1"/>
    <d v="2021-07-11T00:00:00"/>
    <n v="15"/>
    <x v="9"/>
    <n v="647965"/>
    <n v="8039"/>
    <n v="80.599999999999994"/>
    <x v="189"/>
    <x v="189"/>
    <x v="189"/>
  </r>
  <r>
    <n v="1016"/>
    <x v="5"/>
    <x v="5"/>
    <x v="1"/>
    <d v="2021-07-11T00:00:00"/>
    <n v="15"/>
    <x v="10"/>
    <n v="905260"/>
    <n v="10195"/>
    <n v="88.79"/>
    <x v="190"/>
    <x v="190"/>
    <x v="190"/>
  </r>
  <r>
    <n v="1016"/>
    <x v="5"/>
    <x v="5"/>
    <x v="1"/>
    <d v="2021-07-11T00:00:00"/>
    <n v="15"/>
    <x v="11"/>
    <n v="1144121"/>
    <n v="7460"/>
    <n v="153.37"/>
    <x v="191"/>
    <x v="191"/>
    <x v="191"/>
  </r>
  <r>
    <n v="1017"/>
    <x v="5"/>
    <x v="5"/>
    <x v="0"/>
    <d v="2022-05-09T00:00:00"/>
    <n v="8"/>
    <x v="0"/>
    <n v="1206029"/>
    <n v="8280"/>
    <n v="145.66"/>
    <x v="192"/>
    <x v="192"/>
    <x v="192"/>
  </r>
  <r>
    <n v="1017"/>
    <x v="5"/>
    <x v="5"/>
    <x v="0"/>
    <d v="2022-05-09T00:00:00"/>
    <n v="8"/>
    <x v="1"/>
    <n v="780089"/>
    <n v="14047"/>
    <n v="55.53"/>
    <x v="193"/>
    <x v="193"/>
    <x v="193"/>
  </r>
  <r>
    <n v="1017"/>
    <x v="5"/>
    <x v="5"/>
    <x v="0"/>
    <d v="2022-05-09T00:00:00"/>
    <n v="8"/>
    <x v="2"/>
    <n v="343506"/>
    <n v="14014"/>
    <n v="24.51"/>
    <x v="194"/>
    <x v="194"/>
    <x v="194"/>
  </r>
  <r>
    <n v="1017"/>
    <x v="5"/>
    <x v="5"/>
    <x v="0"/>
    <d v="2022-05-09T00:00:00"/>
    <n v="8"/>
    <x v="3"/>
    <n v="667401"/>
    <n v="10708"/>
    <n v="62.33"/>
    <x v="195"/>
    <x v="195"/>
    <x v="195"/>
  </r>
  <r>
    <n v="1017"/>
    <x v="5"/>
    <x v="5"/>
    <x v="0"/>
    <d v="2022-05-09T00:00:00"/>
    <n v="8"/>
    <x v="4"/>
    <n v="883336"/>
    <n v="5973"/>
    <n v="147.88999999999999"/>
    <x v="196"/>
    <x v="196"/>
    <x v="196"/>
  </r>
  <r>
    <n v="1017"/>
    <x v="5"/>
    <x v="5"/>
    <x v="0"/>
    <d v="2022-05-09T00:00:00"/>
    <n v="8"/>
    <x v="5"/>
    <n v="1331223"/>
    <n v="4494"/>
    <n v="296.22000000000003"/>
    <x v="197"/>
    <x v="197"/>
    <x v="197"/>
  </r>
  <r>
    <n v="1017"/>
    <x v="5"/>
    <x v="5"/>
    <x v="0"/>
    <d v="2022-05-09T00:00:00"/>
    <n v="8"/>
    <x v="6"/>
    <n v="973307"/>
    <n v="13979"/>
    <n v="69.63"/>
    <x v="198"/>
    <x v="198"/>
    <x v="198"/>
  </r>
  <r>
    <n v="1017"/>
    <x v="5"/>
    <x v="5"/>
    <x v="0"/>
    <d v="2022-05-09T00:00:00"/>
    <n v="8"/>
    <x v="7"/>
    <n v="1163282"/>
    <n v="14365"/>
    <n v="80.98"/>
    <x v="199"/>
    <x v="199"/>
    <x v="199"/>
  </r>
  <r>
    <n v="1017"/>
    <x v="5"/>
    <x v="5"/>
    <x v="0"/>
    <d v="2022-05-09T00:00:00"/>
    <n v="8"/>
    <x v="8"/>
    <n v="1139809"/>
    <n v="12012"/>
    <n v="94.89"/>
    <x v="200"/>
    <x v="200"/>
    <x v="200"/>
  </r>
  <r>
    <n v="1017"/>
    <x v="5"/>
    <x v="5"/>
    <x v="0"/>
    <d v="2022-05-09T00:00:00"/>
    <n v="8"/>
    <x v="9"/>
    <n v="829318"/>
    <n v="8296"/>
    <n v="99.97"/>
    <x v="201"/>
    <x v="201"/>
    <x v="201"/>
  </r>
  <r>
    <n v="1017"/>
    <x v="5"/>
    <x v="5"/>
    <x v="0"/>
    <d v="2022-05-09T00:00:00"/>
    <n v="8"/>
    <x v="10"/>
    <n v="1379186"/>
    <n v="3018"/>
    <n v="456.99"/>
    <x v="202"/>
    <x v="202"/>
    <x v="202"/>
  </r>
  <r>
    <n v="1017"/>
    <x v="5"/>
    <x v="5"/>
    <x v="0"/>
    <d v="2022-05-09T00:00:00"/>
    <n v="8"/>
    <x v="11"/>
    <n v="1166642"/>
    <n v="3888"/>
    <n v="300.06"/>
    <x v="203"/>
    <x v="203"/>
    <x v="203"/>
  </r>
  <r>
    <n v="1018"/>
    <x v="5"/>
    <x v="5"/>
    <x v="1"/>
    <d v="2022-07-04T00:00:00"/>
    <n v="15"/>
    <x v="0"/>
    <n v="408237"/>
    <n v="6335"/>
    <n v="64.44"/>
    <x v="204"/>
    <x v="204"/>
    <x v="204"/>
  </r>
  <r>
    <n v="1018"/>
    <x v="5"/>
    <x v="5"/>
    <x v="1"/>
    <d v="2022-07-04T00:00:00"/>
    <n v="15"/>
    <x v="1"/>
    <n v="904040"/>
    <n v="10178"/>
    <n v="88.82"/>
    <x v="205"/>
    <x v="205"/>
    <x v="205"/>
  </r>
  <r>
    <n v="1018"/>
    <x v="5"/>
    <x v="5"/>
    <x v="1"/>
    <d v="2022-07-04T00:00:00"/>
    <n v="15"/>
    <x v="2"/>
    <n v="360543"/>
    <n v="13322"/>
    <n v="27.06"/>
    <x v="206"/>
    <x v="206"/>
    <x v="206"/>
  </r>
  <r>
    <n v="1018"/>
    <x v="5"/>
    <x v="5"/>
    <x v="1"/>
    <d v="2022-07-04T00:00:00"/>
    <n v="15"/>
    <x v="3"/>
    <n v="632143"/>
    <n v="8091"/>
    <n v="78.13"/>
    <x v="207"/>
    <x v="207"/>
    <x v="207"/>
  </r>
  <r>
    <n v="1018"/>
    <x v="5"/>
    <x v="5"/>
    <x v="1"/>
    <d v="2022-07-04T00:00:00"/>
    <n v="15"/>
    <x v="4"/>
    <n v="495473"/>
    <n v="6681"/>
    <n v="74.16"/>
    <x v="208"/>
    <x v="208"/>
    <x v="208"/>
  </r>
  <r>
    <n v="1018"/>
    <x v="5"/>
    <x v="5"/>
    <x v="1"/>
    <d v="2022-07-04T00:00:00"/>
    <n v="15"/>
    <x v="5"/>
    <n v="1267726"/>
    <n v="4924"/>
    <n v="257.45999999999998"/>
    <x v="209"/>
    <x v="209"/>
    <x v="209"/>
  </r>
  <r>
    <n v="1018"/>
    <x v="5"/>
    <x v="5"/>
    <x v="1"/>
    <d v="2022-07-04T00:00:00"/>
    <n v="15"/>
    <x v="6"/>
    <n v="912078"/>
    <n v="11337"/>
    <n v="80.45"/>
    <x v="210"/>
    <x v="210"/>
    <x v="210"/>
  </r>
  <r>
    <n v="1018"/>
    <x v="5"/>
    <x v="5"/>
    <x v="1"/>
    <d v="2022-07-04T00:00:00"/>
    <n v="15"/>
    <x v="7"/>
    <n v="1311874"/>
    <n v="10736"/>
    <n v="122.19"/>
    <x v="211"/>
    <x v="211"/>
    <x v="211"/>
  </r>
  <r>
    <n v="1018"/>
    <x v="5"/>
    <x v="5"/>
    <x v="1"/>
    <d v="2022-07-04T00:00:00"/>
    <n v="15"/>
    <x v="8"/>
    <n v="1104438"/>
    <n v="6122"/>
    <n v="180.4"/>
    <x v="212"/>
    <x v="212"/>
    <x v="212"/>
  </r>
  <r>
    <n v="1018"/>
    <x v="5"/>
    <x v="5"/>
    <x v="1"/>
    <d v="2022-07-04T00:00:00"/>
    <n v="15"/>
    <x v="9"/>
    <n v="586278"/>
    <n v="4143"/>
    <n v="141.51"/>
    <x v="213"/>
    <x v="213"/>
    <x v="213"/>
  </r>
  <r>
    <n v="1018"/>
    <x v="5"/>
    <x v="5"/>
    <x v="1"/>
    <d v="2022-07-04T00:00:00"/>
    <n v="15"/>
    <x v="10"/>
    <n v="1170197"/>
    <n v="8568"/>
    <n v="136.58000000000001"/>
    <x v="214"/>
    <x v="214"/>
    <x v="214"/>
  </r>
  <r>
    <n v="1018"/>
    <x v="5"/>
    <x v="5"/>
    <x v="1"/>
    <d v="2022-07-04T00:00:00"/>
    <n v="15"/>
    <x v="11"/>
    <n v="305379"/>
    <n v="7634"/>
    <n v="40"/>
    <x v="215"/>
    <x v="215"/>
    <x v="215"/>
  </r>
  <r>
    <n v="1019"/>
    <x v="6"/>
    <x v="0"/>
    <x v="1"/>
    <d v="2023-11-08T00:00:00"/>
    <n v="10"/>
    <x v="0"/>
    <n v="1236477"/>
    <n v="11824"/>
    <n v="104.57"/>
    <x v="216"/>
    <x v="216"/>
    <x v="216"/>
  </r>
  <r>
    <n v="1019"/>
    <x v="6"/>
    <x v="0"/>
    <x v="1"/>
    <d v="2023-11-08T00:00:00"/>
    <n v="10"/>
    <x v="1"/>
    <n v="1439655"/>
    <n v="9180"/>
    <n v="156.83000000000001"/>
    <x v="217"/>
    <x v="217"/>
    <x v="217"/>
  </r>
  <r>
    <n v="1019"/>
    <x v="6"/>
    <x v="0"/>
    <x v="1"/>
    <d v="2023-11-08T00:00:00"/>
    <n v="10"/>
    <x v="2"/>
    <n v="695632"/>
    <n v="14427"/>
    <n v="48.22"/>
    <x v="218"/>
    <x v="218"/>
    <x v="218"/>
  </r>
  <r>
    <n v="1019"/>
    <x v="6"/>
    <x v="0"/>
    <x v="1"/>
    <d v="2023-11-08T00:00:00"/>
    <n v="10"/>
    <x v="3"/>
    <n v="1161457"/>
    <n v="3715"/>
    <n v="312.64"/>
    <x v="219"/>
    <x v="219"/>
    <x v="219"/>
  </r>
  <r>
    <n v="1019"/>
    <x v="6"/>
    <x v="0"/>
    <x v="1"/>
    <d v="2023-11-08T00:00:00"/>
    <n v="10"/>
    <x v="4"/>
    <n v="1099499"/>
    <n v="9325"/>
    <n v="117.91"/>
    <x v="220"/>
    <x v="220"/>
    <x v="220"/>
  </r>
  <r>
    <n v="1019"/>
    <x v="6"/>
    <x v="0"/>
    <x v="1"/>
    <d v="2023-11-08T00:00:00"/>
    <n v="10"/>
    <x v="5"/>
    <n v="618987"/>
    <n v="11115"/>
    <n v="55.69"/>
    <x v="221"/>
    <x v="221"/>
    <x v="221"/>
  </r>
  <r>
    <n v="1019"/>
    <x v="6"/>
    <x v="0"/>
    <x v="1"/>
    <d v="2023-11-08T00:00:00"/>
    <n v="10"/>
    <x v="6"/>
    <n v="996243"/>
    <n v="4644"/>
    <n v="214.52"/>
    <x v="222"/>
    <x v="222"/>
    <x v="222"/>
  </r>
  <r>
    <n v="1019"/>
    <x v="6"/>
    <x v="0"/>
    <x v="1"/>
    <d v="2023-11-08T00:00:00"/>
    <n v="10"/>
    <x v="7"/>
    <n v="1402999"/>
    <n v="10486"/>
    <n v="133.80000000000001"/>
    <x v="223"/>
    <x v="223"/>
    <x v="223"/>
  </r>
  <r>
    <n v="1019"/>
    <x v="6"/>
    <x v="0"/>
    <x v="1"/>
    <d v="2023-11-08T00:00:00"/>
    <n v="10"/>
    <x v="8"/>
    <n v="623718"/>
    <n v="4225"/>
    <n v="147.63"/>
    <x v="224"/>
    <x v="224"/>
    <x v="224"/>
  </r>
  <r>
    <n v="1019"/>
    <x v="6"/>
    <x v="0"/>
    <x v="1"/>
    <d v="2023-11-08T00:00:00"/>
    <n v="10"/>
    <x v="9"/>
    <n v="1010014"/>
    <n v="13211"/>
    <n v="76.45"/>
    <x v="225"/>
    <x v="225"/>
    <x v="225"/>
  </r>
  <r>
    <n v="1019"/>
    <x v="6"/>
    <x v="0"/>
    <x v="1"/>
    <d v="2023-11-08T00:00:00"/>
    <n v="10"/>
    <x v="10"/>
    <n v="989051"/>
    <n v="14048"/>
    <n v="70.41"/>
    <x v="226"/>
    <x v="226"/>
    <x v="226"/>
  </r>
  <r>
    <n v="1019"/>
    <x v="6"/>
    <x v="0"/>
    <x v="1"/>
    <d v="2023-11-08T00:00:00"/>
    <n v="10"/>
    <x v="11"/>
    <n v="964086"/>
    <n v="13269"/>
    <n v="72.66"/>
    <x v="227"/>
    <x v="227"/>
    <x v="227"/>
  </r>
  <r>
    <n v="1020"/>
    <x v="6"/>
    <x v="0"/>
    <x v="0"/>
    <d v="2022-06-18T00:00:00"/>
    <n v="9"/>
    <x v="0"/>
    <n v="792348"/>
    <n v="13340"/>
    <n v="59.4"/>
    <x v="228"/>
    <x v="228"/>
    <x v="228"/>
  </r>
  <r>
    <n v="1020"/>
    <x v="6"/>
    <x v="0"/>
    <x v="0"/>
    <d v="2022-06-18T00:00:00"/>
    <n v="9"/>
    <x v="1"/>
    <n v="777073"/>
    <n v="4480"/>
    <n v="173.45"/>
    <x v="229"/>
    <x v="229"/>
    <x v="229"/>
  </r>
  <r>
    <n v="1020"/>
    <x v="6"/>
    <x v="0"/>
    <x v="0"/>
    <d v="2022-06-18T00:00:00"/>
    <n v="9"/>
    <x v="2"/>
    <n v="510778"/>
    <n v="10269"/>
    <n v="49.74"/>
    <x v="230"/>
    <x v="230"/>
    <x v="230"/>
  </r>
  <r>
    <n v="1020"/>
    <x v="6"/>
    <x v="0"/>
    <x v="0"/>
    <d v="2022-06-18T00:00:00"/>
    <n v="9"/>
    <x v="3"/>
    <n v="360706"/>
    <n v="3753"/>
    <n v="96.11"/>
    <x v="231"/>
    <x v="231"/>
    <x v="231"/>
  </r>
  <r>
    <n v="1020"/>
    <x v="6"/>
    <x v="0"/>
    <x v="0"/>
    <d v="2022-06-18T00:00:00"/>
    <n v="9"/>
    <x v="4"/>
    <n v="1051752"/>
    <n v="9141"/>
    <n v="115.06"/>
    <x v="232"/>
    <x v="232"/>
    <x v="232"/>
  </r>
  <r>
    <n v="1020"/>
    <x v="6"/>
    <x v="0"/>
    <x v="0"/>
    <d v="2022-06-18T00:00:00"/>
    <n v="9"/>
    <x v="5"/>
    <n v="1164135"/>
    <n v="12272"/>
    <n v="94.86"/>
    <x v="233"/>
    <x v="233"/>
    <x v="233"/>
  </r>
  <r>
    <n v="1020"/>
    <x v="6"/>
    <x v="0"/>
    <x v="0"/>
    <d v="2022-06-18T00:00:00"/>
    <n v="9"/>
    <x v="6"/>
    <n v="667147"/>
    <n v="4293"/>
    <n v="155.4"/>
    <x v="234"/>
    <x v="234"/>
    <x v="234"/>
  </r>
  <r>
    <n v="1020"/>
    <x v="6"/>
    <x v="0"/>
    <x v="0"/>
    <d v="2022-06-18T00:00:00"/>
    <n v="9"/>
    <x v="7"/>
    <n v="805056"/>
    <n v="11153"/>
    <n v="72.180000000000007"/>
    <x v="235"/>
    <x v="235"/>
    <x v="235"/>
  </r>
  <r>
    <n v="1020"/>
    <x v="6"/>
    <x v="0"/>
    <x v="0"/>
    <d v="2022-06-18T00:00:00"/>
    <n v="9"/>
    <x v="8"/>
    <n v="1267101"/>
    <n v="13451"/>
    <n v="94.2"/>
    <x v="236"/>
    <x v="236"/>
    <x v="236"/>
  </r>
  <r>
    <n v="1020"/>
    <x v="6"/>
    <x v="0"/>
    <x v="0"/>
    <d v="2022-06-18T00:00:00"/>
    <n v="9"/>
    <x v="9"/>
    <n v="319707"/>
    <n v="10622"/>
    <n v="30.1"/>
    <x v="237"/>
    <x v="237"/>
    <x v="237"/>
  </r>
  <r>
    <n v="1020"/>
    <x v="6"/>
    <x v="0"/>
    <x v="0"/>
    <d v="2022-06-18T00:00:00"/>
    <n v="9"/>
    <x v="10"/>
    <n v="631298"/>
    <n v="4210"/>
    <n v="149.94999999999999"/>
    <x v="238"/>
    <x v="238"/>
    <x v="238"/>
  </r>
  <r>
    <n v="1020"/>
    <x v="6"/>
    <x v="0"/>
    <x v="0"/>
    <d v="2022-06-18T00:00:00"/>
    <n v="9"/>
    <x v="11"/>
    <n v="927371"/>
    <n v="13468"/>
    <n v="68.86"/>
    <x v="239"/>
    <x v="239"/>
    <x v="239"/>
  </r>
  <r>
    <n v="1021"/>
    <x v="6"/>
    <x v="0"/>
    <x v="1"/>
    <d v="2023-09-28T00:00:00"/>
    <n v="12"/>
    <x v="0"/>
    <n v="717788"/>
    <n v="9302"/>
    <n v="77.16"/>
    <x v="240"/>
    <x v="240"/>
    <x v="240"/>
  </r>
  <r>
    <n v="1021"/>
    <x v="6"/>
    <x v="0"/>
    <x v="1"/>
    <d v="2023-09-28T00:00:00"/>
    <n v="12"/>
    <x v="1"/>
    <n v="1099778"/>
    <n v="12370"/>
    <n v="88.91"/>
    <x v="241"/>
    <x v="241"/>
    <x v="241"/>
  </r>
  <r>
    <n v="1021"/>
    <x v="6"/>
    <x v="0"/>
    <x v="1"/>
    <d v="2023-09-28T00:00:00"/>
    <n v="12"/>
    <x v="2"/>
    <n v="919143"/>
    <n v="3359"/>
    <n v="273.64"/>
    <x v="242"/>
    <x v="242"/>
    <x v="242"/>
  </r>
  <r>
    <n v="1021"/>
    <x v="6"/>
    <x v="0"/>
    <x v="1"/>
    <d v="2023-09-28T00:00:00"/>
    <n v="12"/>
    <x v="3"/>
    <n v="875627"/>
    <n v="3132"/>
    <n v="279.57"/>
    <x v="243"/>
    <x v="243"/>
    <x v="243"/>
  </r>
  <r>
    <n v="1021"/>
    <x v="6"/>
    <x v="0"/>
    <x v="1"/>
    <d v="2023-09-28T00:00:00"/>
    <n v="12"/>
    <x v="4"/>
    <n v="402853"/>
    <n v="12935"/>
    <n v="31.14"/>
    <x v="244"/>
    <x v="244"/>
    <x v="244"/>
  </r>
  <r>
    <n v="1021"/>
    <x v="6"/>
    <x v="0"/>
    <x v="1"/>
    <d v="2023-09-28T00:00:00"/>
    <n v="12"/>
    <x v="5"/>
    <n v="900192"/>
    <n v="6770"/>
    <n v="132.97"/>
    <x v="245"/>
    <x v="245"/>
    <x v="245"/>
  </r>
  <r>
    <n v="1021"/>
    <x v="6"/>
    <x v="0"/>
    <x v="1"/>
    <d v="2023-09-28T00:00:00"/>
    <n v="12"/>
    <x v="6"/>
    <n v="698735"/>
    <n v="13172"/>
    <n v="53.05"/>
    <x v="246"/>
    <x v="246"/>
    <x v="246"/>
  </r>
  <r>
    <n v="1021"/>
    <x v="6"/>
    <x v="0"/>
    <x v="1"/>
    <d v="2023-09-28T00:00:00"/>
    <n v="12"/>
    <x v="7"/>
    <n v="586846"/>
    <n v="13293"/>
    <n v="44.15"/>
    <x v="247"/>
    <x v="247"/>
    <x v="247"/>
  </r>
  <r>
    <n v="1021"/>
    <x v="6"/>
    <x v="0"/>
    <x v="1"/>
    <d v="2023-09-28T00:00:00"/>
    <n v="12"/>
    <x v="8"/>
    <n v="382675"/>
    <n v="8061"/>
    <n v="47.47"/>
    <x v="248"/>
    <x v="248"/>
    <x v="248"/>
  </r>
  <r>
    <n v="1021"/>
    <x v="6"/>
    <x v="0"/>
    <x v="1"/>
    <d v="2023-09-28T00:00:00"/>
    <n v="12"/>
    <x v="9"/>
    <n v="1065169"/>
    <n v="14998"/>
    <n v="71.02"/>
    <x v="249"/>
    <x v="249"/>
    <x v="249"/>
  </r>
  <r>
    <n v="1021"/>
    <x v="6"/>
    <x v="0"/>
    <x v="1"/>
    <d v="2023-09-28T00:00:00"/>
    <n v="12"/>
    <x v="10"/>
    <n v="985179"/>
    <n v="9807"/>
    <n v="100.46"/>
    <x v="250"/>
    <x v="250"/>
    <x v="250"/>
  </r>
  <r>
    <n v="1021"/>
    <x v="6"/>
    <x v="0"/>
    <x v="1"/>
    <d v="2023-09-28T00:00:00"/>
    <n v="12"/>
    <x v="11"/>
    <n v="1431220"/>
    <n v="8994"/>
    <n v="159.13"/>
    <x v="251"/>
    <x v="251"/>
    <x v="251"/>
  </r>
  <r>
    <n v="1022"/>
    <x v="7"/>
    <x v="6"/>
    <x v="0"/>
    <d v="2020-06-10T00:00:00"/>
    <n v="15"/>
    <x v="0"/>
    <n v="918956"/>
    <n v="8549"/>
    <n v="107.49"/>
    <x v="252"/>
    <x v="252"/>
    <x v="252"/>
  </r>
  <r>
    <n v="1022"/>
    <x v="7"/>
    <x v="6"/>
    <x v="0"/>
    <d v="2020-06-10T00:00:00"/>
    <n v="15"/>
    <x v="1"/>
    <n v="457914"/>
    <n v="5306"/>
    <n v="86.3"/>
    <x v="253"/>
    <x v="253"/>
    <x v="253"/>
  </r>
  <r>
    <n v="1022"/>
    <x v="7"/>
    <x v="6"/>
    <x v="0"/>
    <d v="2020-06-10T00:00:00"/>
    <n v="15"/>
    <x v="2"/>
    <n v="1133432"/>
    <n v="12131"/>
    <n v="93.43"/>
    <x v="254"/>
    <x v="254"/>
    <x v="254"/>
  </r>
  <r>
    <n v="1022"/>
    <x v="7"/>
    <x v="6"/>
    <x v="0"/>
    <d v="2020-06-10T00:00:00"/>
    <n v="15"/>
    <x v="3"/>
    <n v="329189"/>
    <n v="7332"/>
    <n v="44.9"/>
    <x v="255"/>
    <x v="255"/>
    <x v="255"/>
  </r>
  <r>
    <n v="1022"/>
    <x v="7"/>
    <x v="6"/>
    <x v="0"/>
    <d v="2020-06-10T00:00:00"/>
    <n v="15"/>
    <x v="4"/>
    <n v="849792"/>
    <n v="12577"/>
    <n v="67.569999999999993"/>
    <x v="256"/>
    <x v="256"/>
    <x v="256"/>
  </r>
  <r>
    <n v="1022"/>
    <x v="7"/>
    <x v="6"/>
    <x v="0"/>
    <d v="2020-06-10T00:00:00"/>
    <n v="15"/>
    <x v="5"/>
    <n v="1079036"/>
    <n v="4775"/>
    <n v="225.98"/>
    <x v="257"/>
    <x v="257"/>
    <x v="257"/>
  </r>
  <r>
    <n v="1022"/>
    <x v="7"/>
    <x v="6"/>
    <x v="0"/>
    <d v="2020-06-10T00:00:00"/>
    <n v="15"/>
    <x v="6"/>
    <n v="1477356"/>
    <n v="8374"/>
    <n v="176.42"/>
    <x v="258"/>
    <x v="258"/>
    <x v="258"/>
  </r>
  <r>
    <n v="1022"/>
    <x v="7"/>
    <x v="6"/>
    <x v="0"/>
    <d v="2020-06-10T00:00:00"/>
    <n v="15"/>
    <x v="7"/>
    <n v="432575"/>
    <n v="13410"/>
    <n v="32.26"/>
    <x v="259"/>
    <x v="259"/>
    <x v="259"/>
  </r>
  <r>
    <n v="1022"/>
    <x v="7"/>
    <x v="6"/>
    <x v="0"/>
    <d v="2020-06-10T00:00:00"/>
    <n v="15"/>
    <x v="8"/>
    <n v="933738"/>
    <n v="13637"/>
    <n v="68.47"/>
    <x v="260"/>
    <x v="260"/>
    <x v="260"/>
  </r>
  <r>
    <n v="1022"/>
    <x v="7"/>
    <x v="6"/>
    <x v="0"/>
    <d v="2020-06-10T00:00:00"/>
    <n v="15"/>
    <x v="9"/>
    <n v="378039"/>
    <n v="7986"/>
    <n v="47.34"/>
    <x v="261"/>
    <x v="261"/>
    <x v="261"/>
  </r>
  <r>
    <n v="1022"/>
    <x v="7"/>
    <x v="6"/>
    <x v="0"/>
    <d v="2020-06-10T00:00:00"/>
    <n v="15"/>
    <x v="10"/>
    <n v="792411"/>
    <n v="11807"/>
    <n v="67.11"/>
    <x v="262"/>
    <x v="262"/>
    <x v="262"/>
  </r>
  <r>
    <n v="1022"/>
    <x v="7"/>
    <x v="6"/>
    <x v="0"/>
    <d v="2020-06-10T00:00:00"/>
    <n v="15"/>
    <x v="11"/>
    <n v="1432865"/>
    <n v="9866"/>
    <n v="145.22999999999999"/>
    <x v="263"/>
    <x v="263"/>
    <x v="263"/>
  </r>
  <r>
    <n v="1023"/>
    <x v="7"/>
    <x v="6"/>
    <x v="1"/>
    <d v="2022-09-03T00:00:00"/>
    <n v="9"/>
    <x v="0"/>
    <n v="1326235"/>
    <n v="13086"/>
    <n v="101.35"/>
    <x v="264"/>
    <x v="264"/>
    <x v="264"/>
  </r>
  <r>
    <n v="1023"/>
    <x v="7"/>
    <x v="6"/>
    <x v="1"/>
    <d v="2022-09-03T00:00:00"/>
    <n v="9"/>
    <x v="1"/>
    <n v="368611"/>
    <n v="14309"/>
    <n v="25.76"/>
    <x v="265"/>
    <x v="265"/>
    <x v="265"/>
  </r>
  <r>
    <n v="1023"/>
    <x v="7"/>
    <x v="6"/>
    <x v="1"/>
    <d v="2022-09-03T00:00:00"/>
    <n v="9"/>
    <x v="2"/>
    <n v="795164"/>
    <n v="8942"/>
    <n v="88.92"/>
    <x v="266"/>
    <x v="266"/>
    <x v="266"/>
  </r>
  <r>
    <n v="1023"/>
    <x v="7"/>
    <x v="6"/>
    <x v="1"/>
    <d v="2022-09-03T00:00:00"/>
    <n v="9"/>
    <x v="3"/>
    <n v="1441827"/>
    <n v="13564"/>
    <n v="106.3"/>
    <x v="267"/>
    <x v="267"/>
    <x v="267"/>
  </r>
  <r>
    <n v="1023"/>
    <x v="7"/>
    <x v="6"/>
    <x v="1"/>
    <d v="2022-09-03T00:00:00"/>
    <n v="9"/>
    <x v="4"/>
    <n v="698057"/>
    <n v="5001"/>
    <n v="139.58000000000001"/>
    <x v="268"/>
    <x v="268"/>
    <x v="268"/>
  </r>
  <r>
    <n v="1023"/>
    <x v="7"/>
    <x v="6"/>
    <x v="1"/>
    <d v="2022-09-03T00:00:00"/>
    <n v="9"/>
    <x v="5"/>
    <n v="492253"/>
    <n v="13858"/>
    <n v="35.520000000000003"/>
    <x v="269"/>
    <x v="269"/>
    <x v="269"/>
  </r>
  <r>
    <n v="1023"/>
    <x v="7"/>
    <x v="6"/>
    <x v="1"/>
    <d v="2022-09-03T00:00:00"/>
    <n v="9"/>
    <x v="6"/>
    <n v="344789"/>
    <n v="3828"/>
    <n v="90.07"/>
    <x v="270"/>
    <x v="270"/>
    <x v="270"/>
  </r>
  <r>
    <n v="1023"/>
    <x v="7"/>
    <x v="6"/>
    <x v="1"/>
    <d v="2022-09-03T00:00:00"/>
    <n v="9"/>
    <x v="7"/>
    <n v="564081"/>
    <n v="12250"/>
    <n v="46.05"/>
    <x v="271"/>
    <x v="271"/>
    <x v="271"/>
  </r>
  <r>
    <n v="1023"/>
    <x v="7"/>
    <x v="6"/>
    <x v="1"/>
    <d v="2022-09-03T00:00:00"/>
    <n v="9"/>
    <x v="8"/>
    <n v="1462257"/>
    <n v="6394"/>
    <n v="228.69"/>
    <x v="272"/>
    <x v="272"/>
    <x v="272"/>
  </r>
  <r>
    <n v="1023"/>
    <x v="7"/>
    <x v="6"/>
    <x v="1"/>
    <d v="2022-09-03T00:00:00"/>
    <n v="9"/>
    <x v="9"/>
    <n v="788633"/>
    <n v="8383"/>
    <n v="94.08"/>
    <x v="273"/>
    <x v="273"/>
    <x v="273"/>
  </r>
  <r>
    <n v="1023"/>
    <x v="7"/>
    <x v="6"/>
    <x v="1"/>
    <d v="2022-09-03T00:00:00"/>
    <n v="9"/>
    <x v="10"/>
    <n v="305946"/>
    <n v="7542"/>
    <n v="40.57"/>
    <x v="274"/>
    <x v="274"/>
    <x v="274"/>
  </r>
  <r>
    <n v="1023"/>
    <x v="7"/>
    <x v="6"/>
    <x v="1"/>
    <d v="2022-09-03T00:00:00"/>
    <n v="9"/>
    <x v="11"/>
    <n v="572613"/>
    <n v="11850"/>
    <n v="48.32"/>
    <x v="275"/>
    <x v="275"/>
    <x v="275"/>
  </r>
  <r>
    <n v="1024"/>
    <x v="7"/>
    <x v="6"/>
    <x v="0"/>
    <d v="2019-09-27T00:00:00"/>
    <n v="8"/>
    <x v="0"/>
    <n v="1051288"/>
    <n v="6898"/>
    <n v="152.4"/>
    <x v="276"/>
    <x v="276"/>
    <x v="276"/>
  </r>
  <r>
    <n v="1024"/>
    <x v="7"/>
    <x v="6"/>
    <x v="0"/>
    <d v="2019-09-27T00:00:00"/>
    <n v="8"/>
    <x v="1"/>
    <n v="856516"/>
    <n v="3858"/>
    <n v="222.01"/>
    <x v="277"/>
    <x v="277"/>
    <x v="277"/>
  </r>
  <r>
    <n v="1024"/>
    <x v="7"/>
    <x v="6"/>
    <x v="0"/>
    <d v="2019-09-27T00:00:00"/>
    <n v="8"/>
    <x v="2"/>
    <n v="538339"/>
    <n v="4041"/>
    <n v="133.22"/>
    <x v="278"/>
    <x v="278"/>
    <x v="278"/>
  </r>
  <r>
    <n v="1024"/>
    <x v="7"/>
    <x v="6"/>
    <x v="0"/>
    <d v="2019-09-27T00:00:00"/>
    <n v="8"/>
    <x v="3"/>
    <n v="1376338"/>
    <n v="12726"/>
    <n v="108.15"/>
    <x v="279"/>
    <x v="279"/>
    <x v="279"/>
  </r>
  <r>
    <n v="1024"/>
    <x v="7"/>
    <x v="6"/>
    <x v="0"/>
    <d v="2019-09-27T00:00:00"/>
    <n v="8"/>
    <x v="4"/>
    <n v="390943"/>
    <n v="14915"/>
    <n v="26.21"/>
    <x v="280"/>
    <x v="280"/>
    <x v="280"/>
  </r>
  <r>
    <n v="1024"/>
    <x v="7"/>
    <x v="6"/>
    <x v="0"/>
    <d v="2019-09-27T00:00:00"/>
    <n v="8"/>
    <x v="5"/>
    <n v="1393562"/>
    <n v="7941"/>
    <n v="175.49"/>
    <x v="281"/>
    <x v="281"/>
    <x v="281"/>
  </r>
  <r>
    <n v="1024"/>
    <x v="7"/>
    <x v="6"/>
    <x v="0"/>
    <d v="2019-09-27T00:00:00"/>
    <n v="8"/>
    <x v="6"/>
    <n v="427560"/>
    <n v="10847"/>
    <n v="39.42"/>
    <x v="282"/>
    <x v="282"/>
    <x v="282"/>
  </r>
  <r>
    <n v="1024"/>
    <x v="7"/>
    <x v="6"/>
    <x v="0"/>
    <d v="2019-09-27T00:00:00"/>
    <n v="8"/>
    <x v="7"/>
    <n v="526412"/>
    <n v="11032"/>
    <n v="47.72"/>
    <x v="283"/>
    <x v="283"/>
    <x v="283"/>
  </r>
  <r>
    <n v="1024"/>
    <x v="7"/>
    <x v="6"/>
    <x v="0"/>
    <d v="2019-09-27T00:00:00"/>
    <n v="8"/>
    <x v="8"/>
    <n v="469429"/>
    <n v="8277"/>
    <n v="56.71"/>
    <x v="284"/>
    <x v="284"/>
    <x v="284"/>
  </r>
  <r>
    <n v="1024"/>
    <x v="7"/>
    <x v="6"/>
    <x v="0"/>
    <d v="2019-09-27T00:00:00"/>
    <n v="8"/>
    <x v="9"/>
    <n v="876750"/>
    <n v="13228"/>
    <n v="66.28"/>
    <x v="285"/>
    <x v="285"/>
    <x v="285"/>
  </r>
  <r>
    <n v="1024"/>
    <x v="7"/>
    <x v="6"/>
    <x v="0"/>
    <d v="2019-09-27T00:00:00"/>
    <n v="8"/>
    <x v="10"/>
    <n v="981963"/>
    <n v="9240"/>
    <n v="106.27"/>
    <x v="286"/>
    <x v="286"/>
    <x v="286"/>
  </r>
  <r>
    <n v="1024"/>
    <x v="7"/>
    <x v="6"/>
    <x v="0"/>
    <d v="2019-09-27T00:00:00"/>
    <n v="8"/>
    <x v="11"/>
    <n v="1251510"/>
    <n v="11282"/>
    <n v="110.93"/>
    <x v="287"/>
    <x v="287"/>
    <x v="287"/>
  </r>
  <r>
    <n v="1025"/>
    <x v="8"/>
    <x v="7"/>
    <x v="0"/>
    <d v="2023-10-13T00:00:00"/>
    <n v="18"/>
    <x v="0"/>
    <n v="1456233"/>
    <n v="14810"/>
    <n v="98.33"/>
    <x v="288"/>
    <x v="288"/>
    <x v="288"/>
  </r>
  <r>
    <n v="1025"/>
    <x v="8"/>
    <x v="7"/>
    <x v="0"/>
    <d v="2023-10-13T00:00:00"/>
    <n v="18"/>
    <x v="1"/>
    <n v="779185"/>
    <n v="9779"/>
    <n v="79.680000000000007"/>
    <x v="289"/>
    <x v="289"/>
    <x v="289"/>
  </r>
  <r>
    <n v="1025"/>
    <x v="8"/>
    <x v="7"/>
    <x v="0"/>
    <d v="2023-10-13T00:00:00"/>
    <n v="18"/>
    <x v="2"/>
    <n v="1172393"/>
    <n v="14953"/>
    <n v="78.41"/>
    <x v="290"/>
    <x v="290"/>
    <x v="290"/>
  </r>
  <r>
    <n v="1025"/>
    <x v="8"/>
    <x v="7"/>
    <x v="0"/>
    <d v="2023-10-13T00:00:00"/>
    <n v="18"/>
    <x v="3"/>
    <n v="834542"/>
    <n v="9132"/>
    <n v="91.39"/>
    <x v="291"/>
    <x v="291"/>
    <x v="291"/>
  </r>
  <r>
    <n v="1025"/>
    <x v="8"/>
    <x v="7"/>
    <x v="0"/>
    <d v="2023-10-13T00:00:00"/>
    <n v="18"/>
    <x v="4"/>
    <n v="1294611"/>
    <n v="4099"/>
    <n v="315.83999999999997"/>
    <x v="292"/>
    <x v="292"/>
    <x v="292"/>
  </r>
  <r>
    <n v="1025"/>
    <x v="8"/>
    <x v="7"/>
    <x v="0"/>
    <d v="2023-10-13T00:00:00"/>
    <n v="18"/>
    <x v="5"/>
    <n v="1205710"/>
    <n v="4582"/>
    <n v="263.14"/>
    <x v="293"/>
    <x v="293"/>
    <x v="293"/>
  </r>
  <r>
    <n v="1025"/>
    <x v="8"/>
    <x v="7"/>
    <x v="0"/>
    <d v="2023-10-13T00:00:00"/>
    <n v="18"/>
    <x v="6"/>
    <n v="572871"/>
    <n v="12115"/>
    <n v="47.29"/>
    <x v="294"/>
    <x v="294"/>
    <x v="294"/>
  </r>
  <r>
    <n v="1025"/>
    <x v="8"/>
    <x v="7"/>
    <x v="0"/>
    <d v="2023-10-13T00:00:00"/>
    <n v="18"/>
    <x v="7"/>
    <n v="1477935"/>
    <n v="8400"/>
    <n v="175.94"/>
    <x v="295"/>
    <x v="295"/>
    <x v="295"/>
  </r>
  <r>
    <n v="1025"/>
    <x v="8"/>
    <x v="7"/>
    <x v="0"/>
    <d v="2023-10-13T00:00:00"/>
    <n v="18"/>
    <x v="8"/>
    <n v="1186962"/>
    <n v="14813"/>
    <n v="80.13"/>
    <x v="296"/>
    <x v="296"/>
    <x v="296"/>
  </r>
  <r>
    <n v="1025"/>
    <x v="8"/>
    <x v="7"/>
    <x v="0"/>
    <d v="2023-10-13T00:00:00"/>
    <n v="18"/>
    <x v="9"/>
    <n v="955252"/>
    <n v="8761"/>
    <n v="109.03"/>
    <x v="297"/>
    <x v="297"/>
    <x v="297"/>
  </r>
  <r>
    <n v="1025"/>
    <x v="8"/>
    <x v="7"/>
    <x v="0"/>
    <d v="2023-10-13T00:00:00"/>
    <n v="18"/>
    <x v="10"/>
    <n v="624492"/>
    <n v="13759"/>
    <n v="45.39"/>
    <x v="298"/>
    <x v="298"/>
    <x v="298"/>
  </r>
  <r>
    <n v="1025"/>
    <x v="8"/>
    <x v="7"/>
    <x v="0"/>
    <d v="2023-10-13T00:00:00"/>
    <n v="18"/>
    <x v="11"/>
    <n v="1034242"/>
    <n v="12113"/>
    <n v="85.38"/>
    <x v="299"/>
    <x v="299"/>
    <x v="299"/>
  </r>
  <r>
    <n v="1026"/>
    <x v="8"/>
    <x v="7"/>
    <x v="0"/>
    <d v="2023-07-12T00:00:00"/>
    <n v="14"/>
    <x v="0"/>
    <n v="1476430"/>
    <n v="13186"/>
    <n v="111.97"/>
    <x v="300"/>
    <x v="300"/>
    <x v="300"/>
  </r>
  <r>
    <n v="1026"/>
    <x v="8"/>
    <x v="7"/>
    <x v="0"/>
    <d v="2023-07-12T00:00:00"/>
    <n v="14"/>
    <x v="1"/>
    <n v="355058"/>
    <n v="12977"/>
    <n v="27.36"/>
    <x v="301"/>
    <x v="301"/>
    <x v="301"/>
  </r>
  <r>
    <n v="1026"/>
    <x v="8"/>
    <x v="7"/>
    <x v="0"/>
    <d v="2023-07-12T00:00:00"/>
    <n v="14"/>
    <x v="2"/>
    <n v="860878"/>
    <n v="3474"/>
    <n v="247.81"/>
    <x v="302"/>
    <x v="302"/>
    <x v="302"/>
  </r>
  <r>
    <n v="1026"/>
    <x v="8"/>
    <x v="7"/>
    <x v="0"/>
    <d v="2023-07-12T00:00:00"/>
    <n v="14"/>
    <x v="3"/>
    <n v="947987"/>
    <n v="8567"/>
    <n v="110.66"/>
    <x v="303"/>
    <x v="303"/>
    <x v="303"/>
  </r>
  <r>
    <n v="1026"/>
    <x v="8"/>
    <x v="7"/>
    <x v="0"/>
    <d v="2023-07-12T00:00:00"/>
    <n v="14"/>
    <x v="4"/>
    <n v="600420"/>
    <n v="12278"/>
    <n v="48.9"/>
    <x v="304"/>
    <x v="304"/>
    <x v="304"/>
  </r>
  <r>
    <n v="1026"/>
    <x v="8"/>
    <x v="7"/>
    <x v="0"/>
    <d v="2023-07-12T00:00:00"/>
    <n v="14"/>
    <x v="5"/>
    <n v="364292"/>
    <n v="4503"/>
    <n v="80.900000000000006"/>
    <x v="305"/>
    <x v="305"/>
    <x v="305"/>
  </r>
  <r>
    <n v="1026"/>
    <x v="8"/>
    <x v="7"/>
    <x v="0"/>
    <d v="2023-07-12T00:00:00"/>
    <n v="14"/>
    <x v="6"/>
    <n v="1180452"/>
    <n v="10432"/>
    <n v="113.16"/>
    <x v="306"/>
    <x v="306"/>
    <x v="306"/>
  </r>
  <r>
    <n v="1026"/>
    <x v="8"/>
    <x v="7"/>
    <x v="0"/>
    <d v="2023-07-12T00:00:00"/>
    <n v="14"/>
    <x v="7"/>
    <n v="980280"/>
    <n v="12299"/>
    <n v="79.7"/>
    <x v="307"/>
    <x v="307"/>
    <x v="307"/>
  </r>
  <r>
    <n v="1026"/>
    <x v="8"/>
    <x v="7"/>
    <x v="0"/>
    <d v="2023-07-12T00:00:00"/>
    <n v="14"/>
    <x v="8"/>
    <n v="626274"/>
    <n v="5579"/>
    <n v="112.26"/>
    <x v="308"/>
    <x v="308"/>
    <x v="308"/>
  </r>
  <r>
    <n v="1026"/>
    <x v="8"/>
    <x v="7"/>
    <x v="0"/>
    <d v="2023-07-12T00:00:00"/>
    <n v="14"/>
    <x v="9"/>
    <n v="471088"/>
    <n v="7458"/>
    <n v="63.17"/>
    <x v="309"/>
    <x v="309"/>
    <x v="309"/>
  </r>
  <r>
    <n v="1026"/>
    <x v="8"/>
    <x v="7"/>
    <x v="0"/>
    <d v="2023-07-12T00:00:00"/>
    <n v="14"/>
    <x v="10"/>
    <n v="1227033"/>
    <n v="9785"/>
    <n v="125.4"/>
    <x v="310"/>
    <x v="310"/>
    <x v="310"/>
  </r>
  <r>
    <n v="1026"/>
    <x v="8"/>
    <x v="7"/>
    <x v="0"/>
    <d v="2023-07-12T00:00:00"/>
    <n v="14"/>
    <x v="11"/>
    <n v="538692"/>
    <n v="8655"/>
    <n v="62.24"/>
    <x v="311"/>
    <x v="311"/>
    <x v="311"/>
  </r>
  <r>
    <n v="1027"/>
    <x v="8"/>
    <x v="7"/>
    <x v="1"/>
    <d v="2021-12-15T00:00:00"/>
    <n v="18"/>
    <x v="0"/>
    <n v="946802"/>
    <n v="3744"/>
    <n v="252.89"/>
    <x v="312"/>
    <x v="312"/>
    <x v="312"/>
  </r>
  <r>
    <n v="1027"/>
    <x v="8"/>
    <x v="7"/>
    <x v="1"/>
    <d v="2021-12-15T00:00:00"/>
    <n v="18"/>
    <x v="1"/>
    <n v="414886"/>
    <n v="3125"/>
    <n v="132.76"/>
    <x v="313"/>
    <x v="313"/>
    <x v="313"/>
  </r>
  <r>
    <n v="1027"/>
    <x v="8"/>
    <x v="7"/>
    <x v="1"/>
    <d v="2021-12-15T00:00:00"/>
    <n v="18"/>
    <x v="2"/>
    <n v="587802"/>
    <n v="7186"/>
    <n v="81.8"/>
    <x v="314"/>
    <x v="314"/>
    <x v="314"/>
  </r>
  <r>
    <n v="1027"/>
    <x v="8"/>
    <x v="7"/>
    <x v="1"/>
    <d v="2021-12-15T00:00:00"/>
    <n v="18"/>
    <x v="3"/>
    <n v="1343092"/>
    <n v="10055"/>
    <n v="133.57"/>
    <x v="315"/>
    <x v="315"/>
    <x v="315"/>
  </r>
  <r>
    <n v="1027"/>
    <x v="8"/>
    <x v="7"/>
    <x v="1"/>
    <d v="2021-12-15T00:00:00"/>
    <n v="18"/>
    <x v="4"/>
    <n v="782577"/>
    <n v="11196"/>
    <n v="69.900000000000006"/>
    <x v="316"/>
    <x v="316"/>
    <x v="316"/>
  </r>
  <r>
    <n v="1027"/>
    <x v="8"/>
    <x v="7"/>
    <x v="1"/>
    <d v="2021-12-15T00:00:00"/>
    <n v="18"/>
    <x v="5"/>
    <n v="1042742"/>
    <n v="4180"/>
    <n v="249.46"/>
    <x v="317"/>
    <x v="317"/>
    <x v="317"/>
  </r>
  <r>
    <n v="1027"/>
    <x v="8"/>
    <x v="7"/>
    <x v="1"/>
    <d v="2021-12-15T00:00:00"/>
    <n v="18"/>
    <x v="6"/>
    <n v="1214818"/>
    <n v="3307"/>
    <n v="367.35"/>
    <x v="318"/>
    <x v="318"/>
    <x v="318"/>
  </r>
  <r>
    <n v="1027"/>
    <x v="8"/>
    <x v="7"/>
    <x v="1"/>
    <d v="2021-12-15T00:00:00"/>
    <n v="18"/>
    <x v="7"/>
    <n v="956535"/>
    <n v="12433"/>
    <n v="76.94"/>
    <x v="319"/>
    <x v="319"/>
    <x v="319"/>
  </r>
  <r>
    <n v="1027"/>
    <x v="8"/>
    <x v="7"/>
    <x v="1"/>
    <d v="2021-12-15T00:00:00"/>
    <n v="18"/>
    <x v="8"/>
    <n v="1175967"/>
    <n v="7743"/>
    <n v="151.87"/>
    <x v="320"/>
    <x v="320"/>
    <x v="320"/>
  </r>
  <r>
    <n v="1027"/>
    <x v="8"/>
    <x v="7"/>
    <x v="1"/>
    <d v="2021-12-15T00:00:00"/>
    <n v="18"/>
    <x v="9"/>
    <n v="981088"/>
    <n v="5815"/>
    <n v="168.72"/>
    <x v="321"/>
    <x v="321"/>
    <x v="321"/>
  </r>
  <r>
    <n v="1027"/>
    <x v="8"/>
    <x v="7"/>
    <x v="1"/>
    <d v="2021-12-15T00:00:00"/>
    <n v="18"/>
    <x v="10"/>
    <n v="1058860"/>
    <n v="4443"/>
    <n v="238.32"/>
    <x v="322"/>
    <x v="322"/>
    <x v="322"/>
  </r>
  <r>
    <n v="1027"/>
    <x v="8"/>
    <x v="7"/>
    <x v="1"/>
    <d v="2021-12-15T00:00:00"/>
    <n v="18"/>
    <x v="11"/>
    <n v="1213679"/>
    <n v="12648"/>
    <n v="95.96"/>
    <x v="323"/>
    <x v="323"/>
    <x v="323"/>
  </r>
  <r>
    <n v="1028"/>
    <x v="9"/>
    <x v="8"/>
    <x v="1"/>
    <d v="2023-03-08T00:00:00"/>
    <n v="13"/>
    <x v="0"/>
    <n v="764670"/>
    <n v="8456"/>
    <n v="90.43"/>
    <x v="324"/>
    <x v="324"/>
    <x v="324"/>
  </r>
  <r>
    <n v="1028"/>
    <x v="9"/>
    <x v="8"/>
    <x v="1"/>
    <d v="2023-03-08T00:00:00"/>
    <n v="13"/>
    <x v="1"/>
    <n v="539131"/>
    <n v="11693"/>
    <n v="46.11"/>
    <x v="325"/>
    <x v="325"/>
    <x v="325"/>
  </r>
  <r>
    <n v="1028"/>
    <x v="9"/>
    <x v="8"/>
    <x v="1"/>
    <d v="2023-03-08T00:00:00"/>
    <n v="13"/>
    <x v="2"/>
    <n v="1032693"/>
    <n v="8752"/>
    <n v="118"/>
    <x v="326"/>
    <x v="326"/>
    <x v="326"/>
  </r>
  <r>
    <n v="1028"/>
    <x v="9"/>
    <x v="8"/>
    <x v="1"/>
    <d v="2023-03-08T00:00:00"/>
    <n v="13"/>
    <x v="3"/>
    <n v="609728"/>
    <n v="6871"/>
    <n v="88.74"/>
    <x v="327"/>
    <x v="327"/>
    <x v="327"/>
  </r>
  <r>
    <n v="1028"/>
    <x v="9"/>
    <x v="8"/>
    <x v="1"/>
    <d v="2023-03-08T00:00:00"/>
    <n v="13"/>
    <x v="4"/>
    <n v="663853"/>
    <n v="12869"/>
    <n v="51.59"/>
    <x v="328"/>
    <x v="328"/>
    <x v="328"/>
  </r>
  <r>
    <n v="1028"/>
    <x v="9"/>
    <x v="8"/>
    <x v="1"/>
    <d v="2023-03-08T00:00:00"/>
    <n v="13"/>
    <x v="5"/>
    <n v="458027"/>
    <n v="5902"/>
    <n v="77.61"/>
    <x v="329"/>
    <x v="329"/>
    <x v="329"/>
  </r>
  <r>
    <n v="1028"/>
    <x v="9"/>
    <x v="8"/>
    <x v="1"/>
    <d v="2023-03-08T00:00:00"/>
    <n v="13"/>
    <x v="6"/>
    <n v="1272980"/>
    <n v="12236"/>
    <n v="104.04"/>
    <x v="330"/>
    <x v="330"/>
    <x v="330"/>
  </r>
  <r>
    <n v="1028"/>
    <x v="9"/>
    <x v="8"/>
    <x v="1"/>
    <d v="2023-03-08T00:00:00"/>
    <n v="13"/>
    <x v="7"/>
    <n v="1483825"/>
    <n v="13534"/>
    <n v="109.64"/>
    <x v="331"/>
    <x v="331"/>
    <x v="331"/>
  </r>
  <r>
    <n v="1028"/>
    <x v="9"/>
    <x v="8"/>
    <x v="1"/>
    <d v="2023-03-08T00:00:00"/>
    <n v="13"/>
    <x v="8"/>
    <n v="962991"/>
    <n v="5473"/>
    <n v="175.95"/>
    <x v="332"/>
    <x v="332"/>
    <x v="332"/>
  </r>
  <r>
    <n v="1028"/>
    <x v="9"/>
    <x v="8"/>
    <x v="1"/>
    <d v="2023-03-08T00:00:00"/>
    <n v="13"/>
    <x v="9"/>
    <n v="935060"/>
    <n v="7500"/>
    <n v="124.67"/>
    <x v="333"/>
    <x v="333"/>
    <x v="333"/>
  </r>
  <r>
    <n v="1028"/>
    <x v="9"/>
    <x v="8"/>
    <x v="1"/>
    <d v="2023-03-08T00:00:00"/>
    <n v="13"/>
    <x v="10"/>
    <n v="455589"/>
    <n v="8085"/>
    <n v="56.35"/>
    <x v="334"/>
    <x v="334"/>
    <x v="334"/>
  </r>
  <r>
    <n v="1028"/>
    <x v="9"/>
    <x v="8"/>
    <x v="1"/>
    <d v="2023-03-08T00:00:00"/>
    <n v="13"/>
    <x v="11"/>
    <n v="1073298"/>
    <n v="7703"/>
    <n v="139.34"/>
    <x v="335"/>
    <x v="335"/>
    <x v="335"/>
  </r>
  <r>
    <n v="1029"/>
    <x v="9"/>
    <x v="8"/>
    <x v="0"/>
    <d v="2022-06-13T00:00:00"/>
    <n v="17"/>
    <x v="0"/>
    <n v="1363398"/>
    <n v="9299"/>
    <n v="146.62"/>
    <x v="336"/>
    <x v="336"/>
    <x v="336"/>
  </r>
  <r>
    <n v="1029"/>
    <x v="9"/>
    <x v="8"/>
    <x v="0"/>
    <d v="2022-06-13T00:00:00"/>
    <n v="17"/>
    <x v="1"/>
    <n v="386030"/>
    <n v="10368"/>
    <n v="37.229999999999997"/>
    <x v="337"/>
    <x v="337"/>
    <x v="337"/>
  </r>
  <r>
    <n v="1029"/>
    <x v="9"/>
    <x v="8"/>
    <x v="0"/>
    <d v="2022-06-13T00:00:00"/>
    <n v="17"/>
    <x v="2"/>
    <n v="694766"/>
    <n v="8267"/>
    <n v="84.04"/>
    <x v="338"/>
    <x v="338"/>
    <x v="338"/>
  </r>
  <r>
    <n v="1029"/>
    <x v="9"/>
    <x v="8"/>
    <x v="0"/>
    <d v="2022-06-13T00:00:00"/>
    <n v="17"/>
    <x v="3"/>
    <n v="429758"/>
    <n v="10381"/>
    <n v="41.4"/>
    <x v="339"/>
    <x v="339"/>
    <x v="339"/>
  </r>
  <r>
    <n v="1029"/>
    <x v="9"/>
    <x v="8"/>
    <x v="0"/>
    <d v="2022-06-13T00:00:00"/>
    <n v="17"/>
    <x v="4"/>
    <n v="1020241"/>
    <n v="14703"/>
    <n v="69.39"/>
    <x v="340"/>
    <x v="340"/>
    <x v="340"/>
  </r>
  <r>
    <n v="1029"/>
    <x v="9"/>
    <x v="8"/>
    <x v="0"/>
    <d v="2022-06-13T00:00:00"/>
    <n v="17"/>
    <x v="5"/>
    <n v="382086"/>
    <n v="7059"/>
    <n v="54.13"/>
    <x v="341"/>
    <x v="341"/>
    <x v="341"/>
  </r>
  <r>
    <n v="1029"/>
    <x v="9"/>
    <x v="8"/>
    <x v="0"/>
    <d v="2022-06-13T00:00:00"/>
    <n v="17"/>
    <x v="6"/>
    <n v="1399051"/>
    <n v="11564"/>
    <n v="120.98"/>
    <x v="342"/>
    <x v="342"/>
    <x v="342"/>
  </r>
  <r>
    <n v="1029"/>
    <x v="9"/>
    <x v="8"/>
    <x v="0"/>
    <d v="2022-06-13T00:00:00"/>
    <n v="17"/>
    <x v="7"/>
    <n v="893270"/>
    <n v="9347"/>
    <n v="95.57"/>
    <x v="343"/>
    <x v="343"/>
    <x v="343"/>
  </r>
  <r>
    <n v="1029"/>
    <x v="9"/>
    <x v="8"/>
    <x v="0"/>
    <d v="2022-06-13T00:00:00"/>
    <n v="17"/>
    <x v="8"/>
    <n v="409818"/>
    <n v="13336"/>
    <n v="30.73"/>
    <x v="344"/>
    <x v="344"/>
    <x v="344"/>
  </r>
  <r>
    <n v="1029"/>
    <x v="9"/>
    <x v="8"/>
    <x v="0"/>
    <d v="2022-06-13T00:00:00"/>
    <n v="17"/>
    <x v="9"/>
    <n v="498193"/>
    <n v="12141"/>
    <n v="41.03"/>
    <x v="345"/>
    <x v="345"/>
    <x v="345"/>
  </r>
  <r>
    <n v="1029"/>
    <x v="9"/>
    <x v="8"/>
    <x v="0"/>
    <d v="2022-06-13T00:00:00"/>
    <n v="17"/>
    <x v="10"/>
    <n v="615355"/>
    <n v="8461"/>
    <n v="72.73"/>
    <x v="346"/>
    <x v="346"/>
    <x v="346"/>
  </r>
  <r>
    <n v="1029"/>
    <x v="9"/>
    <x v="8"/>
    <x v="0"/>
    <d v="2022-06-13T00:00:00"/>
    <n v="17"/>
    <x v="11"/>
    <n v="1033627"/>
    <n v="8082"/>
    <n v="127.89"/>
    <x v="347"/>
    <x v="347"/>
    <x v="347"/>
  </r>
  <r>
    <n v="1030"/>
    <x v="9"/>
    <x v="8"/>
    <x v="1"/>
    <d v="2019-09-22T00:00:00"/>
    <n v="17"/>
    <x v="0"/>
    <n v="477668"/>
    <n v="8072"/>
    <n v="59.18"/>
    <x v="348"/>
    <x v="348"/>
    <x v="348"/>
  </r>
  <r>
    <n v="1030"/>
    <x v="9"/>
    <x v="8"/>
    <x v="1"/>
    <d v="2019-09-22T00:00:00"/>
    <n v="17"/>
    <x v="1"/>
    <n v="988865"/>
    <n v="5093"/>
    <n v="194.16"/>
    <x v="349"/>
    <x v="349"/>
    <x v="349"/>
  </r>
  <r>
    <n v="1030"/>
    <x v="9"/>
    <x v="8"/>
    <x v="1"/>
    <d v="2019-09-22T00:00:00"/>
    <n v="17"/>
    <x v="2"/>
    <n v="1403926"/>
    <n v="4531"/>
    <n v="309.85000000000002"/>
    <x v="350"/>
    <x v="350"/>
    <x v="350"/>
  </r>
  <r>
    <n v="1030"/>
    <x v="9"/>
    <x v="8"/>
    <x v="1"/>
    <d v="2019-09-22T00:00:00"/>
    <n v="17"/>
    <x v="3"/>
    <n v="1058808"/>
    <n v="3298"/>
    <n v="321.05"/>
    <x v="351"/>
    <x v="351"/>
    <x v="351"/>
  </r>
  <r>
    <n v="1030"/>
    <x v="9"/>
    <x v="8"/>
    <x v="1"/>
    <d v="2019-09-22T00:00:00"/>
    <n v="17"/>
    <x v="4"/>
    <n v="749194"/>
    <n v="8598"/>
    <n v="87.14"/>
    <x v="352"/>
    <x v="352"/>
    <x v="352"/>
  </r>
  <r>
    <n v="1030"/>
    <x v="9"/>
    <x v="8"/>
    <x v="1"/>
    <d v="2019-09-22T00:00:00"/>
    <n v="17"/>
    <x v="5"/>
    <n v="775095"/>
    <n v="5253"/>
    <n v="147.55000000000001"/>
    <x v="353"/>
    <x v="353"/>
    <x v="353"/>
  </r>
  <r>
    <n v="1030"/>
    <x v="9"/>
    <x v="8"/>
    <x v="1"/>
    <d v="2019-09-22T00:00:00"/>
    <n v="17"/>
    <x v="6"/>
    <n v="512107"/>
    <n v="11317"/>
    <n v="45.25"/>
    <x v="354"/>
    <x v="354"/>
    <x v="354"/>
  </r>
  <r>
    <n v="1030"/>
    <x v="9"/>
    <x v="8"/>
    <x v="1"/>
    <d v="2019-09-22T00:00:00"/>
    <n v="17"/>
    <x v="7"/>
    <n v="1404216"/>
    <n v="3618"/>
    <n v="388.12"/>
    <x v="355"/>
    <x v="355"/>
    <x v="355"/>
  </r>
  <r>
    <n v="1030"/>
    <x v="9"/>
    <x v="8"/>
    <x v="1"/>
    <d v="2019-09-22T00:00:00"/>
    <n v="17"/>
    <x v="8"/>
    <n v="574829"/>
    <n v="12785"/>
    <n v="44.96"/>
    <x v="356"/>
    <x v="356"/>
    <x v="356"/>
  </r>
  <r>
    <n v="1030"/>
    <x v="9"/>
    <x v="8"/>
    <x v="1"/>
    <d v="2019-09-22T00:00:00"/>
    <n v="17"/>
    <x v="9"/>
    <n v="647160"/>
    <n v="14815"/>
    <n v="43.68"/>
    <x v="357"/>
    <x v="357"/>
    <x v="357"/>
  </r>
  <r>
    <n v="1030"/>
    <x v="9"/>
    <x v="8"/>
    <x v="1"/>
    <d v="2019-09-22T00:00:00"/>
    <n v="17"/>
    <x v="10"/>
    <n v="798136"/>
    <n v="10277"/>
    <n v="77.66"/>
    <x v="358"/>
    <x v="358"/>
    <x v="358"/>
  </r>
  <r>
    <n v="1030"/>
    <x v="9"/>
    <x v="8"/>
    <x v="1"/>
    <d v="2019-09-22T00:00:00"/>
    <n v="17"/>
    <x v="11"/>
    <n v="1241470"/>
    <n v="6833"/>
    <n v="181.69"/>
    <x v="359"/>
    <x v="359"/>
    <x v="3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EE2AEF-4D27-4316-A333-0BA15D979C21}" name="PivotTable3"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R11:S24" firstHeaderRow="1" firstDataRow="1" firstDataCol="1"/>
  <pivotFields count="13">
    <pivotField showAll="0"/>
    <pivotField showAll="0"/>
    <pivotField showAll="0">
      <items count="10">
        <item h="1" x="1"/>
        <item h="1" x="6"/>
        <item h="1" x="2"/>
        <item x="0"/>
        <item h="1" x="8"/>
        <item h="1" x="7"/>
        <item h="1" x="4"/>
        <item h="1" x="3"/>
        <item h="1" x="5"/>
        <item t="default"/>
      </items>
    </pivotField>
    <pivotField showAll="0">
      <items count="3">
        <item x="0"/>
        <item h="1" x="1"/>
        <item t="default"/>
      </items>
    </pivotField>
    <pivotField numFmtId="164" showAll="0"/>
    <pivotField showAll="0"/>
    <pivotField axis="axisRow"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Revenue (INR)"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EE76FF-7B2D-4E50-B6F1-A45A3B321679}" name="PivotTable1" cacheId="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4:B15" firstHeaderRow="1" firstDataRow="1" firstDataCol="1"/>
  <pivotFields count="13">
    <pivotField showAll="0"/>
    <pivotField axis="axisRow" showAll="0" sortType="descending">
      <items count="11">
        <item x="7"/>
        <item x="2"/>
        <item x="9"/>
        <item x="4"/>
        <item x="1"/>
        <item x="3"/>
        <item x="8"/>
        <item x="5"/>
        <item x="0"/>
        <item x="6"/>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showAll="0"/>
    <pivotField dataField="1" showAll="0"/>
    <pivotField showAll="0"/>
    <pivotField showAll="0"/>
    <pivotField showAll="0"/>
    <pivotField showAll="0"/>
    <pivotField showAll="0"/>
  </pivotFields>
  <rowFields count="1">
    <field x="1"/>
  </rowFields>
  <rowItems count="11">
    <i>
      <x v="1"/>
    </i>
    <i>
      <x v="6"/>
    </i>
    <i>
      <x v="3"/>
    </i>
    <i>
      <x v="8"/>
    </i>
    <i>
      <x v="4"/>
    </i>
    <i>
      <x v="9"/>
    </i>
    <i>
      <x v="7"/>
    </i>
    <i>
      <x v="5"/>
    </i>
    <i>
      <x v="2"/>
    </i>
    <i>
      <x/>
    </i>
    <i t="grand">
      <x/>
    </i>
  </rowItems>
  <colItems count="1">
    <i/>
  </colItems>
  <dataFields count="1">
    <dataField name="Sum of Revenue (INR)" fld="7"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6290A1-FB2D-4F0E-A9A6-ED281985226D}" name="PivotTable2"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D4:E7" firstHeaderRow="1" firstDataRow="1" firstDataCol="1"/>
  <pivotFields count="13">
    <pivotField showAll="0"/>
    <pivotField showAll="0"/>
    <pivotField showAll="0"/>
    <pivotField axis="axisRow" showAll="0">
      <items count="3">
        <item x="0"/>
        <item x="1"/>
        <item t="default"/>
      </items>
    </pivotField>
    <pivotField numFmtId="164" showAll="0"/>
    <pivotField showAll="0"/>
    <pivotField showAll="0"/>
    <pivotField dataField="1" showAll="0"/>
    <pivotField showAll="0"/>
    <pivotField showAll="0"/>
    <pivotField showAll="0"/>
    <pivotField showAll="0"/>
    <pivotField showAll="0"/>
  </pivotFields>
  <rowFields count="1">
    <field x="3"/>
  </rowFields>
  <rowItems count="3">
    <i>
      <x/>
    </i>
    <i>
      <x v="1"/>
    </i>
    <i t="grand">
      <x/>
    </i>
  </rowItems>
  <colItems count="1">
    <i/>
  </colItems>
  <dataFields count="1">
    <dataField name="Sum of Revenue (INR)" fld="7" baseField="0" baseItem="0"/>
  </dataFields>
  <formats count="3">
    <format dxfId="12">
      <pivotArea collapsedLevelsAreSubtotals="1" fieldPosition="0">
        <references count="1">
          <reference field="3" count="1">
            <x v="0"/>
          </reference>
        </references>
      </pivotArea>
    </format>
    <format dxfId="11">
      <pivotArea collapsedLevelsAreSubtotals="1" fieldPosition="0">
        <references count="1">
          <reference field="3" count="1">
            <x v="1"/>
          </reference>
        </references>
      </pivotArea>
    </format>
    <format dxfId="10">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CFE17B-984F-475E-BE79-3319A9B5FA80}" name="PivotTable17"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B6:D7" firstHeaderRow="0" firstDataRow="1" firstDataCol="0"/>
  <pivotFields count="13">
    <pivotField showAll="0"/>
    <pivotField showAll="0"/>
    <pivotField showAll="0"/>
    <pivotField showAll="0"/>
    <pivotField numFmtId="164" showAll="0"/>
    <pivotField showAll="0"/>
    <pivotField showAll="0"/>
    <pivotField showAll="0"/>
    <pivotField showAll="0"/>
    <pivotField showAll="0"/>
    <pivotField dataField="1" showAll="0">
      <items count="361">
        <item x="106"/>
        <item x="141"/>
        <item x="184"/>
        <item x="128"/>
        <item x="215"/>
        <item x="255"/>
        <item x="69"/>
        <item x="171"/>
        <item x="5"/>
        <item x="231"/>
        <item x="274"/>
        <item x="265"/>
        <item x="42"/>
        <item x="177"/>
        <item x="237"/>
        <item x="339"/>
        <item x="139"/>
        <item x="79"/>
        <item x="313"/>
        <item x="204"/>
        <item x="206"/>
        <item x="270"/>
        <item x="53"/>
        <item x="172"/>
        <item x="194"/>
        <item x="305"/>
        <item x="301"/>
        <item x="341"/>
        <item x="7"/>
        <item x="248"/>
        <item x="78"/>
        <item x="123"/>
        <item x="280"/>
        <item x="344"/>
        <item x="60"/>
        <item x="176"/>
        <item x="112"/>
        <item x="244"/>
        <item x="269"/>
        <item x="337"/>
        <item x="261"/>
        <item x="140"/>
        <item x="2"/>
        <item x="230"/>
        <item x="334"/>
        <item x="309"/>
        <item x="17"/>
        <item x="111"/>
        <item x="49"/>
        <item x="115"/>
        <item x="14"/>
        <item x="74"/>
        <item x="175"/>
        <item x="117"/>
        <item x="294"/>
        <item x="282"/>
        <item x="127"/>
        <item x="259"/>
        <item x="30"/>
        <item x="348"/>
        <item x="284"/>
        <item x="48"/>
        <item x="181"/>
        <item x="253"/>
        <item x="247"/>
        <item x="271"/>
        <item x="35"/>
        <item x="82"/>
        <item x="51"/>
        <item x="70"/>
        <item x="135"/>
        <item x="160"/>
        <item x="275"/>
        <item x="327"/>
        <item x="346"/>
        <item x="311"/>
        <item x="50"/>
        <item x="345"/>
        <item x="329"/>
        <item x="52"/>
        <item x="278"/>
        <item x="213"/>
        <item x="325"/>
        <item x="314"/>
        <item x="155"/>
        <item x="356"/>
        <item x="183"/>
        <item x="87"/>
        <item x="108"/>
        <item x="354"/>
        <item x="283"/>
        <item x="133"/>
        <item x="328"/>
        <item x="208"/>
        <item x="23"/>
        <item x="33"/>
        <item x="150"/>
        <item x="157"/>
        <item x="147"/>
        <item x="187"/>
        <item x="224"/>
        <item x="24"/>
        <item x="238"/>
        <item x="298"/>
        <item x="142"/>
        <item x="218"/>
        <item x="357"/>
        <item x="304"/>
        <item x="246"/>
        <item x="170"/>
        <item x="92"/>
        <item x="207"/>
        <item x="54"/>
        <item x="71"/>
        <item x="182"/>
        <item x="189"/>
        <item x="195"/>
        <item x="38"/>
        <item x="353"/>
        <item x="266"/>
        <item x="105"/>
        <item x="63"/>
        <item x="308"/>
        <item x="31"/>
        <item x="131"/>
        <item x="188"/>
        <item x="262"/>
        <item x="40"/>
        <item x="234"/>
        <item x="100"/>
        <item x="86"/>
        <item x="201"/>
        <item x="62"/>
        <item x="89"/>
        <item x="338"/>
        <item x="159"/>
        <item x="221"/>
        <item x="6"/>
        <item x="289"/>
        <item x="96"/>
        <item x="143"/>
        <item x="277"/>
        <item x="67"/>
        <item x="113"/>
        <item x="229"/>
        <item x="302"/>
        <item x="190"/>
        <item x="0"/>
        <item x="34"/>
        <item x="161"/>
        <item x="316"/>
        <item x="28"/>
        <item x="15"/>
        <item x="240"/>
        <item x="268"/>
        <item x="256"/>
        <item x="297"/>
        <item x="138"/>
        <item x="185"/>
        <item x="124"/>
        <item x="21"/>
        <item x="358"/>
        <item x="198"/>
        <item x="324"/>
        <item x="64"/>
        <item x="228"/>
        <item x="312"/>
        <item x="166"/>
        <item x="114"/>
        <item x="163"/>
        <item x="343"/>
        <item x="102"/>
        <item x="340"/>
        <item x="273"/>
        <item x="146"/>
        <item x="250"/>
        <item x="352"/>
        <item x="193"/>
        <item x="243"/>
        <item x="303"/>
        <item x="66"/>
        <item x="260"/>
        <item x="156"/>
        <item x="335"/>
        <item x="11"/>
        <item x="285"/>
        <item x="249"/>
        <item x="80"/>
        <item x="101"/>
        <item x="235"/>
        <item x="8"/>
        <item x="94"/>
        <item x="319"/>
        <item x="29"/>
        <item x="245"/>
        <item x="10"/>
        <item x="332"/>
        <item x="200"/>
        <item x="121"/>
        <item x="107"/>
        <item x="18"/>
        <item x="57"/>
        <item x="125"/>
        <item x="333"/>
        <item x="136"/>
        <item x="291"/>
        <item x="154"/>
        <item x="144"/>
        <item x="210"/>
        <item x="98"/>
        <item x="46"/>
        <item x="81"/>
        <item x="299"/>
        <item x="296"/>
        <item x="97"/>
        <item x="43"/>
        <item x="290"/>
        <item x="55"/>
        <item x="317"/>
        <item x="351"/>
        <item x="132"/>
        <item x="47"/>
        <item x="320"/>
        <item x="307"/>
        <item x="252"/>
        <item x="232"/>
        <item x="205"/>
        <item x="203"/>
        <item x="322"/>
        <item x="227"/>
        <item x="196"/>
        <item x="241"/>
        <item x="167"/>
        <item x="349"/>
        <item x="162"/>
        <item x="110"/>
        <item x="103"/>
        <item x="254"/>
        <item x="242"/>
        <item x="59"/>
        <item x="225"/>
        <item x="239"/>
        <item x="219"/>
        <item x="276"/>
        <item x="180"/>
        <item x="76"/>
        <item x="321"/>
        <item x="126"/>
        <item x="292"/>
        <item x="151"/>
        <item x="178"/>
        <item x="88"/>
        <item x="13"/>
        <item x="306"/>
        <item x="20"/>
        <item x="9"/>
        <item x="326"/>
        <item x="226"/>
        <item x="109"/>
        <item x="93"/>
        <item x="84"/>
        <item x="310"/>
        <item x="222"/>
        <item x="129"/>
        <item x="36"/>
        <item x="148"/>
        <item x="191"/>
        <item x="149"/>
        <item x="257"/>
        <item x="236"/>
        <item x="158"/>
        <item x="22"/>
        <item x="223"/>
        <item x="4"/>
        <item x="286"/>
        <item x="116"/>
        <item x="199"/>
        <item x="323"/>
        <item x="91"/>
        <item x="279"/>
        <item x="315"/>
        <item x="61"/>
        <item x="85"/>
        <item x="211"/>
        <item x="137"/>
        <item x="318"/>
        <item x="347"/>
        <item x="179"/>
        <item x="65"/>
        <item x="99"/>
        <item x="134"/>
        <item x="216"/>
        <item x="77"/>
        <item x="39"/>
        <item x="233"/>
        <item x="90"/>
        <item x="192"/>
        <item x="174"/>
        <item x="359"/>
        <item x="145"/>
        <item x="212"/>
        <item x="152"/>
        <item x="264"/>
        <item x="130"/>
        <item x="169"/>
        <item x="56"/>
        <item x="220"/>
        <item x="25"/>
        <item x="287"/>
        <item x="72"/>
        <item x="293"/>
        <item x="197"/>
        <item x="209"/>
        <item x="44"/>
        <item x="186"/>
        <item x="75"/>
        <item x="120"/>
        <item x="336"/>
        <item x="214"/>
        <item x="267"/>
        <item x="119"/>
        <item x="104"/>
        <item x="281"/>
        <item x="37"/>
        <item x="165"/>
        <item x="164"/>
        <item x="19"/>
        <item x="330"/>
        <item x="12"/>
        <item x="153"/>
        <item x="217"/>
        <item x="83"/>
        <item x="168"/>
        <item x="251"/>
        <item x="342"/>
        <item x="68"/>
        <item x="122"/>
        <item x="202"/>
        <item x="118"/>
        <item x="32"/>
        <item x="263"/>
        <item x="350"/>
        <item x="45"/>
        <item x="355"/>
        <item x="1"/>
        <item x="73"/>
        <item x="272"/>
        <item x="41"/>
        <item x="173"/>
        <item x="300"/>
        <item x="26"/>
        <item x="331"/>
        <item x="27"/>
        <item x="16"/>
        <item x="295"/>
        <item x="58"/>
        <item x="3"/>
        <item x="288"/>
        <item x="95"/>
        <item x="258"/>
        <item t="default"/>
      </items>
    </pivotField>
    <pivotField dataField="1" showAll="0"/>
    <pivotField dataField="1" showAll="0"/>
  </pivotFields>
  <rowItems count="1">
    <i/>
  </rowItems>
  <colFields count="1">
    <field x="-2"/>
  </colFields>
  <colItems count="3">
    <i>
      <x/>
    </i>
    <i i="1">
      <x v="1"/>
    </i>
    <i i="2">
      <x v="2"/>
    </i>
  </colItems>
  <dataFields count="3">
    <dataField name="Sum of Coffee Sales (INR)" fld="10" baseField="0" baseItem="0"/>
    <dataField name="Sum of Food Sales (INR)" fld="11" baseField="0" baseItem="0"/>
    <dataField name="Sum of Merchandise Sales (INR)" fld="12"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AF3994-6D0E-4102-9587-E7CBBAEC9837}" name="PivotTable1"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B4:C17" firstHeaderRow="1" firstDataRow="1" firstDataCol="1"/>
  <pivotFields count="13">
    <pivotField showAll="0"/>
    <pivotField showAll="0"/>
    <pivotField showAll="0">
      <items count="10">
        <item h="1" x="1"/>
        <item h="1" x="6"/>
        <item h="1" x="2"/>
        <item x="0"/>
        <item h="1" x="8"/>
        <item h="1" x="7"/>
        <item h="1" x="4"/>
        <item h="1" x="3"/>
        <item h="1" x="5"/>
        <item t="default"/>
      </items>
    </pivotField>
    <pivotField showAll="0">
      <items count="3">
        <item x="0"/>
        <item h="1" x="1"/>
        <item t="default"/>
      </items>
    </pivotField>
    <pivotField numFmtId="164" showAll="0"/>
    <pivotField showAll="0"/>
    <pivotField axis="axisRow"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Revenue (INR)"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35D798-2A0D-4263-B3C4-42247A5F46CC}" name="PivotTable2" cacheId="4"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B4:C15" firstHeaderRow="1" firstDataRow="1" firstDataCol="1"/>
  <pivotFields count="13">
    <pivotField showAll="0"/>
    <pivotField axis="axisRow" showAll="0" sortType="descending">
      <items count="11">
        <item x="7"/>
        <item x="2"/>
        <item x="9"/>
        <item x="4"/>
        <item x="1"/>
        <item x="3"/>
        <item x="8"/>
        <item x="5"/>
        <item x="0"/>
        <item x="6"/>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showAll="0"/>
    <pivotField dataField="1" showAll="0"/>
    <pivotField showAll="0"/>
    <pivotField showAll="0"/>
    <pivotField showAll="0"/>
    <pivotField showAll="0"/>
    <pivotField showAll="0"/>
  </pivotFields>
  <rowFields count="1">
    <field x="1"/>
  </rowFields>
  <rowItems count="11">
    <i>
      <x v="1"/>
    </i>
    <i>
      <x v="6"/>
    </i>
    <i>
      <x v="3"/>
    </i>
    <i>
      <x v="8"/>
    </i>
    <i>
      <x v="4"/>
    </i>
    <i>
      <x v="9"/>
    </i>
    <i>
      <x v="7"/>
    </i>
    <i>
      <x v="5"/>
    </i>
    <i>
      <x v="2"/>
    </i>
    <i>
      <x/>
    </i>
    <i t="grand">
      <x/>
    </i>
  </rowItems>
  <colItems count="1">
    <i/>
  </colItems>
  <dataFields count="1">
    <dataField name="Sum of Revenue (INR)"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E8D231E-B967-4F65-9DF2-64FA655C2084}" sourceName="State">
  <pivotTables>
    <pivotTable tabId="8" name="PivotTable1"/>
    <pivotTable tabId="2" name="PivotTable3"/>
  </pivotTables>
  <data>
    <tabular pivotCacheId="68285322">
      <items count="9">
        <i x="1"/>
        <i x="6"/>
        <i x="0" s="1"/>
        <i x="8"/>
        <i x="7"/>
        <i x="4"/>
        <i x="3"/>
        <i x="5"/>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0FFC1E4A-3465-44B3-9527-89365B497C07}" sourceName="Store Type">
  <pivotTables>
    <pivotTable tabId="8" name="PivotTable1"/>
    <pivotTable tabId="2" name="PivotTable3"/>
  </pivotTables>
  <data>
    <tabular pivotCacheId="68285322">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5003F857-F48F-4205-8354-FC4CDDD0643D}" cache="Slicer_State" caption="State" rowHeight="234950"/>
  <slicer name="Store Type 1" xr10:uid="{FE398D1E-4AC8-4CED-AAA2-AEA5954E9123}" cache="Slicer_Store_Type" caption="Store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8214F211-4F75-4E25-82F5-97463D7F6914}" cache="Slicer_State" caption="State" rowHeight="234950"/>
  <slicer name="Store Type" xr10:uid="{B90B9FED-CC62-4788-A489-A05ECA013D4C}" cache="Slicer_Store_Type" caption="Store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006AC3-4C2E-4FE7-BFB2-0B3008626F08}" name="Table1" displayName="Table1" ref="B4:C9" totalsRowShown="0" headerRowDxfId="9" dataDxfId="7" headerRowBorderDxfId="8" tableBorderDxfId="6" totalsRowBorderDxfId="5">
  <autoFilter ref="B4:C9" xr:uid="{0E006AC3-4C2E-4FE7-BFB2-0B3008626F08}"/>
  <tableColumns count="2">
    <tableColumn id="1" xr3:uid="{B4DD6E38-EEF5-49D5-8FAB-AD93A3A568DA}" name="KPI" dataDxfId="4"/>
    <tableColumn id="2" xr3:uid="{057C117B-5205-4F5A-B67E-F578AC9BE661}" name="Valu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9E2C6-4EE7-4560-A020-235010CB6F65}">
  <dimension ref="A1:AK104"/>
  <sheetViews>
    <sheetView tabSelected="1" topLeftCell="A6" workbookViewId="0">
      <selection activeCell="B39" sqref="B39"/>
    </sheetView>
  </sheetViews>
  <sheetFormatPr defaultRowHeight="14.4" x14ac:dyDescent="0.3"/>
  <cols>
    <col min="2" max="2" width="21.33203125" customWidth="1"/>
    <col min="3" max="3" width="23.5546875" customWidth="1"/>
    <col min="18" max="18" width="12.5546875" bestFit="1" customWidth="1"/>
    <col min="19" max="19" width="19.77734375" bestFit="1" customWidth="1"/>
  </cols>
  <sheetData>
    <row r="1" spans="1:37" s="16" customFormat="1" x14ac:dyDescent="0.3"/>
    <row r="2" spans="1:37" s="16" customFormat="1" x14ac:dyDescent="0.3"/>
    <row r="3" spans="1:37" s="16" customFormat="1" x14ac:dyDescent="0.3"/>
    <row r="4" spans="1:37" s="16" customFormat="1" x14ac:dyDescent="0.3"/>
    <row r="5" spans="1:37" x14ac:dyDescent="0.3">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row>
    <row r="6" spans="1:37" x14ac:dyDescent="0.3">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row>
    <row r="7" spans="1:37" x14ac:dyDescent="0.3">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row>
    <row r="8" spans="1:37" x14ac:dyDescent="0.3">
      <c r="A8" s="17"/>
      <c r="B8" s="17"/>
      <c r="C8" s="17"/>
      <c r="D8" s="17"/>
      <c r="E8" s="17"/>
      <c r="F8" s="17"/>
      <c r="G8" s="17"/>
      <c r="H8" s="17"/>
      <c r="I8" s="17"/>
      <c r="J8" s="17"/>
      <c r="K8" s="17"/>
      <c r="L8" s="22"/>
      <c r="M8" s="22"/>
      <c r="N8" s="22"/>
      <c r="O8" s="17"/>
      <c r="P8" s="17"/>
      <c r="Q8" s="17"/>
      <c r="R8" s="17"/>
      <c r="S8" s="17"/>
      <c r="T8" s="17"/>
      <c r="U8" s="17"/>
      <c r="V8" s="17"/>
      <c r="W8" s="17"/>
      <c r="X8" s="17"/>
      <c r="Y8" s="17"/>
      <c r="Z8" s="17"/>
      <c r="AA8" s="17"/>
      <c r="AB8" s="17"/>
      <c r="AC8" s="17"/>
      <c r="AD8" s="17"/>
      <c r="AE8" s="17"/>
      <c r="AF8" s="17"/>
      <c r="AG8" s="17"/>
      <c r="AH8" s="17"/>
      <c r="AI8" s="17"/>
      <c r="AJ8" s="17"/>
      <c r="AK8" s="17"/>
    </row>
    <row r="9" spans="1:37" ht="21" x14ac:dyDescent="0.4">
      <c r="A9" s="17"/>
      <c r="B9" s="17"/>
      <c r="C9" s="17"/>
      <c r="D9" s="17"/>
      <c r="E9" s="17"/>
      <c r="F9" s="17"/>
      <c r="G9" s="17"/>
      <c r="H9" s="17"/>
      <c r="I9" s="17"/>
      <c r="J9" s="17"/>
      <c r="K9" s="17"/>
      <c r="L9" s="23" t="s">
        <v>59</v>
      </c>
      <c r="M9" s="22"/>
      <c r="N9" s="22"/>
      <c r="O9" s="17"/>
      <c r="P9" s="17"/>
      <c r="Q9" s="17"/>
      <c r="R9" s="17"/>
      <c r="S9" s="17"/>
      <c r="T9" s="17"/>
      <c r="U9" s="17"/>
      <c r="V9" s="17"/>
      <c r="W9" s="17"/>
      <c r="X9" s="17"/>
      <c r="Y9" s="17"/>
      <c r="Z9" s="17"/>
      <c r="AA9" s="17"/>
      <c r="AB9" s="17"/>
      <c r="AC9" s="17"/>
      <c r="AD9" s="17"/>
      <c r="AE9" s="17"/>
      <c r="AF9" s="17"/>
      <c r="AG9" s="17"/>
      <c r="AH9" s="17"/>
      <c r="AI9" s="17"/>
      <c r="AJ9" s="17"/>
      <c r="AK9" s="17"/>
    </row>
    <row r="10" spans="1:37" ht="25.8" x14ac:dyDescent="0.5">
      <c r="A10" s="17"/>
      <c r="B10" s="21" t="s">
        <v>58</v>
      </c>
      <c r="C10" s="17"/>
      <c r="D10" s="17"/>
      <c r="E10" s="17"/>
      <c r="F10" s="17"/>
      <c r="G10" s="17"/>
      <c r="H10" s="17"/>
      <c r="I10" s="17"/>
      <c r="J10" s="17"/>
      <c r="K10" s="17"/>
      <c r="L10" s="22"/>
      <c r="M10" s="22"/>
      <c r="N10" s="22"/>
      <c r="O10" s="17"/>
      <c r="P10" s="17"/>
      <c r="Q10" s="17"/>
      <c r="R10" s="17"/>
      <c r="S10" s="17"/>
      <c r="T10" s="17"/>
      <c r="U10" s="17"/>
      <c r="V10" s="17"/>
      <c r="W10" s="17"/>
      <c r="X10" s="17"/>
      <c r="Y10" s="17"/>
      <c r="Z10" s="17"/>
      <c r="AA10" s="17"/>
      <c r="AB10" s="17"/>
      <c r="AC10" s="17"/>
      <c r="AD10" s="17"/>
      <c r="AE10" s="17"/>
      <c r="AF10" s="17"/>
      <c r="AG10" s="17"/>
      <c r="AH10" s="17"/>
      <c r="AI10" s="17"/>
      <c r="AJ10" s="17"/>
      <c r="AK10" s="17"/>
    </row>
    <row r="11" spans="1:37" ht="19.2" customHeight="1" x14ac:dyDescent="0.3">
      <c r="A11" s="17"/>
      <c r="B11" s="18" t="s">
        <v>53</v>
      </c>
      <c r="C11" s="19">
        <f>SUM(Starbucks_India_Data!$H$2:$H$361)</f>
        <v>319215836</v>
      </c>
      <c r="D11" s="17"/>
      <c r="E11" s="17"/>
      <c r="F11" s="17"/>
      <c r="G11" s="17"/>
      <c r="H11" s="17"/>
      <c r="I11" s="17"/>
      <c r="J11" s="17"/>
      <c r="K11" s="17"/>
      <c r="L11" s="17"/>
      <c r="M11" s="17"/>
      <c r="N11" s="17"/>
      <c r="O11" s="17"/>
      <c r="P11" s="17"/>
      <c r="Q11" s="17"/>
      <c r="R11" s="2" t="s">
        <v>45</v>
      </c>
      <c r="S11" t="s">
        <v>47</v>
      </c>
      <c r="T11" s="17"/>
      <c r="U11" s="17"/>
      <c r="V11" s="17"/>
      <c r="W11" s="17"/>
      <c r="X11" s="17"/>
      <c r="Y11" s="17"/>
      <c r="Z11" s="17"/>
      <c r="AA11" s="17"/>
      <c r="AB11" s="17"/>
      <c r="AC11" s="17"/>
      <c r="AD11" s="17"/>
      <c r="AE11" s="17"/>
      <c r="AF11" s="17"/>
      <c r="AG11" s="17"/>
      <c r="AH11" s="17"/>
      <c r="AI11" s="17"/>
      <c r="AJ11" s="17"/>
      <c r="AK11" s="17"/>
    </row>
    <row r="12" spans="1:37" ht="21.6" customHeight="1" x14ac:dyDescent="0.3">
      <c r="A12" s="17"/>
      <c r="B12" s="20" t="s">
        <v>54</v>
      </c>
      <c r="C12" s="20">
        <f>SUM(Starbucks_India_Data!I8:I367)</f>
        <v>3212399</v>
      </c>
      <c r="D12" s="17"/>
      <c r="E12" s="17"/>
      <c r="F12" s="17"/>
      <c r="G12" s="17"/>
      <c r="H12" s="17"/>
      <c r="I12" s="17"/>
      <c r="J12" s="17"/>
      <c r="K12" s="17"/>
      <c r="L12" s="17"/>
      <c r="M12" s="17"/>
      <c r="N12" s="17"/>
      <c r="O12" s="17"/>
      <c r="P12" s="17"/>
      <c r="Q12" s="17"/>
      <c r="R12" s="3" t="s">
        <v>16</v>
      </c>
      <c r="S12" s="15">
        <v>3555502</v>
      </c>
      <c r="T12" s="17"/>
      <c r="U12" s="17"/>
      <c r="V12" s="17"/>
      <c r="W12" s="17"/>
      <c r="X12" s="17"/>
      <c r="Y12" s="17"/>
      <c r="Z12" s="17"/>
      <c r="AA12" s="17"/>
      <c r="AB12" s="17"/>
      <c r="AC12" s="17"/>
      <c r="AD12" s="17"/>
      <c r="AE12" s="17"/>
      <c r="AF12" s="17"/>
      <c r="AG12" s="17"/>
      <c r="AH12" s="17"/>
      <c r="AI12" s="17"/>
      <c r="AJ12" s="17"/>
      <c r="AK12" s="17"/>
    </row>
    <row r="13" spans="1:37" ht="32.4" customHeight="1" x14ac:dyDescent="0.3">
      <c r="A13" s="17"/>
      <c r="B13" s="18" t="s">
        <v>55</v>
      </c>
      <c r="C13" s="19">
        <f>SUM(Starbucks_India_Data!J8:J367)</f>
        <v>41818.780000000035</v>
      </c>
      <c r="D13" s="17"/>
      <c r="E13" s="17"/>
      <c r="F13" s="17"/>
      <c r="G13" s="17"/>
      <c r="H13" s="17"/>
      <c r="I13" s="17"/>
      <c r="J13" s="17"/>
      <c r="K13" s="17"/>
      <c r="L13" s="17"/>
      <c r="M13" s="17"/>
      <c r="N13" s="17"/>
      <c r="O13" s="17"/>
      <c r="P13" s="17"/>
      <c r="Q13" s="17"/>
      <c r="R13" s="3" t="s">
        <v>17</v>
      </c>
      <c r="S13" s="15">
        <v>4366158</v>
      </c>
      <c r="T13" s="17"/>
      <c r="U13" s="17"/>
      <c r="V13" s="17"/>
      <c r="W13" s="17"/>
      <c r="X13" s="17"/>
      <c r="Y13" s="17"/>
      <c r="Z13" s="17"/>
      <c r="AA13" s="17"/>
      <c r="AB13" s="17"/>
      <c r="AC13" s="17"/>
      <c r="AD13" s="17"/>
      <c r="AE13" s="17"/>
      <c r="AF13" s="17"/>
      <c r="AG13" s="17"/>
      <c r="AH13" s="17"/>
      <c r="AI13" s="17"/>
      <c r="AJ13" s="17"/>
      <c r="AK13" s="17"/>
    </row>
    <row r="14" spans="1:37" ht="28.8" x14ac:dyDescent="0.3">
      <c r="A14" s="17"/>
      <c r="B14" s="20" t="s">
        <v>56</v>
      </c>
      <c r="C14" s="20">
        <f>COUNTA(Starbucks_India_Data!A8:A367)</f>
        <v>354</v>
      </c>
      <c r="D14" s="17"/>
      <c r="E14" s="17"/>
      <c r="F14" s="17"/>
      <c r="G14" s="17"/>
      <c r="H14" s="17"/>
      <c r="I14" s="17"/>
      <c r="J14" s="17"/>
      <c r="K14" s="17"/>
      <c r="L14" s="17"/>
      <c r="M14" s="17"/>
      <c r="N14" s="17"/>
      <c r="O14" s="17"/>
      <c r="P14" s="17"/>
      <c r="Q14" s="17"/>
      <c r="R14" s="3" t="s">
        <v>18</v>
      </c>
      <c r="S14" s="15">
        <v>2917210</v>
      </c>
      <c r="T14" s="17"/>
      <c r="U14" s="17"/>
      <c r="V14" s="17"/>
      <c r="W14" s="17"/>
      <c r="X14" s="17"/>
      <c r="Y14" s="17"/>
      <c r="Z14" s="17"/>
      <c r="AA14" s="17"/>
      <c r="AB14" s="17"/>
      <c r="AC14" s="17"/>
      <c r="AD14" s="17"/>
      <c r="AE14" s="17"/>
      <c r="AF14" s="17"/>
      <c r="AG14" s="17"/>
      <c r="AH14" s="17"/>
      <c r="AI14" s="17"/>
      <c r="AJ14" s="17"/>
      <c r="AK14" s="17"/>
    </row>
    <row r="15" spans="1:37" ht="28.2" customHeight="1" x14ac:dyDescent="0.3">
      <c r="A15" s="17"/>
      <c r="B15" s="18" t="s">
        <v>57</v>
      </c>
      <c r="C15" s="19">
        <f>C11/C14</f>
        <v>901739.64971751417</v>
      </c>
      <c r="D15" s="17"/>
      <c r="E15" s="17"/>
      <c r="F15" s="17"/>
      <c r="G15" s="17"/>
      <c r="H15" s="17"/>
      <c r="I15" s="17"/>
      <c r="J15" s="17"/>
      <c r="K15" s="17"/>
      <c r="L15" s="17"/>
      <c r="M15" s="17"/>
      <c r="N15" s="17"/>
      <c r="O15" s="17"/>
      <c r="P15" s="17"/>
      <c r="Q15" s="17"/>
      <c r="R15" s="3" t="s">
        <v>19</v>
      </c>
      <c r="S15" s="15">
        <v>4077235</v>
      </c>
      <c r="T15" s="17"/>
      <c r="U15" s="17"/>
      <c r="V15" s="17"/>
      <c r="W15" s="17"/>
      <c r="X15" s="17"/>
      <c r="Y15" s="17"/>
      <c r="Z15" s="17"/>
      <c r="AA15" s="17"/>
      <c r="AB15" s="17"/>
      <c r="AC15" s="17"/>
      <c r="AD15" s="17"/>
      <c r="AE15" s="17"/>
      <c r="AF15" s="17"/>
      <c r="AG15" s="17"/>
      <c r="AH15" s="17"/>
      <c r="AI15" s="17"/>
      <c r="AJ15" s="17"/>
      <c r="AK15" s="17"/>
    </row>
    <row r="16" spans="1:37" x14ac:dyDescent="0.3">
      <c r="A16" s="17"/>
      <c r="B16" s="17"/>
      <c r="C16" s="17"/>
      <c r="D16" s="17"/>
      <c r="E16" s="17"/>
      <c r="F16" s="17"/>
      <c r="G16" s="17"/>
      <c r="H16" s="17"/>
      <c r="I16" s="17"/>
      <c r="J16" s="17"/>
      <c r="K16" s="17"/>
      <c r="L16" s="17"/>
      <c r="M16" s="17"/>
      <c r="N16" s="17"/>
      <c r="O16" s="17"/>
      <c r="P16" s="17"/>
      <c r="Q16" s="17"/>
      <c r="R16" s="3" t="s">
        <v>20</v>
      </c>
      <c r="S16" s="15">
        <v>4615070</v>
      </c>
      <c r="T16" s="17"/>
      <c r="U16" s="17"/>
      <c r="V16" s="17"/>
      <c r="W16" s="17"/>
      <c r="X16" s="17"/>
      <c r="Y16" s="17"/>
      <c r="Z16" s="17"/>
      <c r="AA16" s="17"/>
      <c r="AB16" s="17"/>
      <c r="AC16" s="17"/>
      <c r="AD16" s="17"/>
      <c r="AE16" s="17"/>
      <c r="AF16" s="17"/>
      <c r="AG16" s="17"/>
      <c r="AH16" s="17"/>
      <c r="AI16" s="17"/>
      <c r="AJ16" s="17"/>
      <c r="AK16" s="17"/>
    </row>
    <row r="17" spans="1:37" x14ac:dyDescent="0.3">
      <c r="A17" s="17"/>
      <c r="B17" s="17"/>
      <c r="C17" s="17"/>
      <c r="D17" s="17"/>
      <c r="E17" s="17"/>
      <c r="F17" s="17"/>
      <c r="G17" s="17"/>
      <c r="H17" s="17"/>
      <c r="I17" s="17"/>
      <c r="J17" s="17"/>
      <c r="K17" s="17"/>
      <c r="L17" s="17"/>
      <c r="M17" s="17"/>
      <c r="N17" s="17"/>
      <c r="O17" s="17"/>
      <c r="P17" s="17"/>
      <c r="Q17" s="17"/>
      <c r="R17" s="3" t="s">
        <v>21</v>
      </c>
      <c r="S17" s="15">
        <v>2747439</v>
      </c>
      <c r="T17" s="17"/>
      <c r="U17" s="17"/>
      <c r="V17" s="17"/>
      <c r="W17" s="17"/>
      <c r="X17" s="17"/>
      <c r="Y17" s="17"/>
      <c r="Z17" s="17"/>
      <c r="AA17" s="17"/>
      <c r="AB17" s="17"/>
      <c r="AC17" s="17"/>
      <c r="AD17" s="17"/>
      <c r="AE17" s="17"/>
      <c r="AF17" s="17"/>
      <c r="AG17" s="17"/>
      <c r="AH17" s="17"/>
      <c r="AI17" s="17"/>
      <c r="AJ17" s="17"/>
      <c r="AK17" s="17"/>
    </row>
    <row r="18" spans="1:37" x14ac:dyDescent="0.3">
      <c r="A18" s="17"/>
      <c r="B18" s="17"/>
      <c r="C18" s="17"/>
      <c r="D18" s="17"/>
      <c r="E18" s="17"/>
      <c r="F18" s="17"/>
      <c r="G18" s="17"/>
      <c r="H18" s="17"/>
      <c r="I18" s="17"/>
      <c r="J18" s="17"/>
      <c r="K18" s="17"/>
      <c r="L18" s="17"/>
      <c r="M18" s="17"/>
      <c r="N18" s="17"/>
      <c r="O18" s="17"/>
      <c r="P18" s="17"/>
      <c r="Q18" s="17"/>
      <c r="R18" s="3" t="s">
        <v>22</v>
      </c>
      <c r="S18" s="15">
        <v>2957673</v>
      </c>
      <c r="T18" s="17"/>
      <c r="U18" s="17"/>
      <c r="V18" s="17"/>
      <c r="W18" s="17"/>
      <c r="X18" s="17"/>
      <c r="Y18" s="17"/>
      <c r="Z18" s="17"/>
      <c r="AA18" s="17"/>
      <c r="AB18" s="17"/>
      <c r="AC18" s="17"/>
      <c r="AD18" s="17"/>
      <c r="AE18" s="17"/>
      <c r="AF18" s="17"/>
      <c r="AG18" s="17"/>
      <c r="AH18" s="17"/>
      <c r="AI18" s="17"/>
      <c r="AJ18" s="17"/>
      <c r="AK18" s="17"/>
    </row>
    <row r="19" spans="1:37" x14ac:dyDescent="0.3">
      <c r="A19" s="17"/>
      <c r="B19" s="17"/>
      <c r="C19" s="17"/>
      <c r="D19" s="17"/>
      <c r="E19" s="17"/>
      <c r="F19" s="17"/>
      <c r="G19" s="17"/>
      <c r="H19" s="17"/>
      <c r="I19" s="17"/>
      <c r="J19" s="17"/>
      <c r="K19" s="17"/>
      <c r="L19" s="17"/>
      <c r="M19" s="17"/>
      <c r="N19" s="17"/>
      <c r="O19" s="17"/>
      <c r="P19" s="17"/>
      <c r="Q19" s="17"/>
      <c r="R19" s="3" t="s">
        <v>23</v>
      </c>
      <c r="S19" s="15">
        <v>3506166</v>
      </c>
      <c r="T19" s="17"/>
      <c r="U19" s="17"/>
      <c r="V19" s="17"/>
      <c r="W19" s="17"/>
      <c r="X19" s="17"/>
      <c r="Y19" s="17"/>
      <c r="Z19" s="17"/>
      <c r="AA19" s="17"/>
      <c r="AB19" s="17"/>
      <c r="AC19" s="17"/>
      <c r="AD19" s="17"/>
      <c r="AE19" s="17"/>
      <c r="AF19" s="17"/>
      <c r="AG19" s="17"/>
      <c r="AH19" s="17"/>
      <c r="AI19" s="17"/>
      <c r="AJ19" s="17"/>
      <c r="AK19" s="17"/>
    </row>
    <row r="20" spans="1:37" x14ac:dyDescent="0.3">
      <c r="A20" s="17"/>
      <c r="B20" s="17"/>
      <c r="C20" s="17"/>
      <c r="D20" s="17"/>
      <c r="E20" s="17"/>
      <c r="F20" s="17"/>
      <c r="G20" s="17"/>
      <c r="H20" s="17"/>
      <c r="I20" s="17"/>
      <c r="J20" s="17"/>
      <c r="K20" s="17"/>
      <c r="L20" s="17"/>
      <c r="M20" s="17"/>
      <c r="N20" s="17"/>
      <c r="O20" s="17"/>
      <c r="P20" s="17"/>
      <c r="Q20" s="17"/>
      <c r="R20" s="3" t="s">
        <v>24</v>
      </c>
      <c r="S20" s="15">
        <v>4663773</v>
      </c>
      <c r="T20" s="17"/>
      <c r="U20" s="17"/>
      <c r="V20" s="17"/>
      <c r="W20" s="17"/>
      <c r="X20" s="17"/>
      <c r="Y20" s="17"/>
      <c r="Z20" s="17"/>
      <c r="AA20" s="17"/>
      <c r="AB20" s="17"/>
      <c r="AC20" s="17"/>
      <c r="AD20" s="17"/>
      <c r="AE20" s="17"/>
      <c r="AF20" s="17"/>
      <c r="AG20" s="17"/>
      <c r="AH20" s="17"/>
      <c r="AI20" s="17"/>
      <c r="AJ20" s="17"/>
      <c r="AK20" s="17"/>
    </row>
    <row r="21" spans="1:37" x14ac:dyDescent="0.3">
      <c r="A21" s="17"/>
      <c r="B21" s="17"/>
      <c r="C21" s="17"/>
      <c r="D21" s="17"/>
      <c r="E21" s="17"/>
      <c r="F21" s="17"/>
      <c r="G21" s="17"/>
      <c r="H21" s="17"/>
      <c r="I21" s="17"/>
      <c r="J21" s="17"/>
      <c r="K21" s="17"/>
      <c r="L21" s="17"/>
      <c r="M21" s="17"/>
      <c r="N21" s="17"/>
      <c r="O21" s="17"/>
      <c r="P21" s="17"/>
      <c r="Q21" s="17"/>
      <c r="R21" s="3" t="s">
        <v>25</v>
      </c>
      <c r="S21" s="15">
        <v>2765369</v>
      </c>
      <c r="T21" s="17"/>
      <c r="U21" s="17"/>
      <c r="V21" s="17"/>
      <c r="W21" s="17"/>
      <c r="X21" s="17"/>
      <c r="Y21" s="17"/>
      <c r="Z21" s="17"/>
      <c r="AA21" s="17"/>
      <c r="AB21" s="17"/>
      <c r="AC21" s="17"/>
      <c r="AD21" s="17"/>
      <c r="AE21" s="17"/>
      <c r="AF21" s="17"/>
      <c r="AG21" s="17"/>
      <c r="AH21" s="17"/>
      <c r="AI21" s="17"/>
      <c r="AJ21" s="17"/>
      <c r="AK21" s="17"/>
    </row>
    <row r="22" spans="1:37" x14ac:dyDescent="0.3">
      <c r="A22" s="17"/>
      <c r="B22" s="17"/>
      <c r="C22" s="17"/>
      <c r="D22" s="17"/>
      <c r="E22" s="17"/>
      <c r="F22" s="17"/>
      <c r="G22" s="17"/>
      <c r="H22" s="17"/>
      <c r="I22" s="17"/>
      <c r="J22" s="17"/>
      <c r="K22" s="17"/>
      <c r="L22" s="17"/>
      <c r="M22" s="17"/>
      <c r="N22" s="17"/>
      <c r="O22" s="17"/>
      <c r="P22" s="17"/>
      <c r="Q22" s="17"/>
      <c r="R22" s="3" t="s">
        <v>26</v>
      </c>
      <c r="S22" s="15">
        <v>3833094</v>
      </c>
      <c r="T22" s="17"/>
      <c r="U22" s="17"/>
      <c r="V22" s="17"/>
      <c r="W22" s="17"/>
      <c r="X22" s="17"/>
      <c r="Y22" s="17"/>
      <c r="Z22" s="17"/>
      <c r="AA22" s="17"/>
      <c r="AB22" s="17"/>
      <c r="AC22" s="17"/>
      <c r="AD22" s="17"/>
      <c r="AE22" s="17"/>
      <c r="AF22" s="17"/>
      <c r="AG22" s="17"/>
      <c r="AH22" s="17"/>
      <c r="AI22" s="17"/>
      <c r="AJ22" s="17"/>
      <c r="AK22" s="17"/>
    </row>
    <row r="23" spans="1:37" x14ac:dyDescent="0.3">
      <c r="A23" s="17"/>
      <c r="B23" s="17"/>
      <c r="C23" s="17"/>
      <c r="D23" s="17"/>
      <c r="E23" s="17"/>
      <c r="F23" s="17"/>
      <c r="G23" s="17"/>
      <c r="H23" s="17"/>
      <c r="I23" s="17"/>
      <c r="J23" s="17"/>
      <c r="K23" s="17"/>
      <c r="L23" s="17"/>
      <c r="M23" s="17"/>
      <c r="N23" s="17"/>
      <c r="O23" s="17"/>
      <c r="P23" s="17"/>
      <c r="Q23" s="17"/>
      <c r="R23" s="3" t="s">
        <v>27</v>
      </c>
      <c r="S23" s="15">
        <v>2760575</v>
      </c>
      <c r="T23" s="17"/>
      <c r="U23" s="17"/>
      <c r="V23" s="17"/>
      <c r="W23" s="17"/>
      <c r="X23" s="17"/>
      <c r="Y23" s="17"/>
      <c r="Z23" s="17"/>
      <c r="AA23" s="17"/>
      <c r="AB23" s="17"/>
      <c r="AC23" s="17"/>
      <c r="AD23" s="17"/>
      <c r="AE23" s="17"/>
      <c r="AF23" s="17"/>
      <c r="AG23" s="17"/>
      <c r="AH23" s="17"/>
      <c r="AI23" s="17"/>
      <c r="AJ23" s="17"/>
      <c r="AK23" s="17"/>
    </row>
    <row r="24" spans="1:37" x14ac:dyDescent="0.3">
      <c r="A24" s="17"/>
      <c r="B24" s="17"/>
      <c r="C24" s="17"/>
      <c r="D24" s="17"/>
      <c r="E24" s="17"/>
      <c r="F24" s="17"/>
      <c r="G24" s="17"/>
      <c r="H24" s="17"/>
      <c r="I24" s="17"/>
      <c r="J24" s="17"/>
      <c r="K24" s="17"/>
      <c r="L24" s="17"/>
      <c r="M24" s="17"/>
      <c r="N24" s="17"/>
      <c r="O24" s="17"/>
      <c r="P24" s="17"/>
      <c r="Q24" s="17"/>
      <c r="R24" s="3" t="s">
        <v>46</v>
      </c>
      <c r="S24" s="15">
        <v>42765264</v>
      </c>
      <c r="T24" s="17"/>
      <c r="U24" s="17"/>
      <c r="V24" s="17"/>
      <c r="W24" s="17"/>
      <c r="X24" s="17"/>
      <c r="Y24" s="17"/>
      <c r="Z24" s="17"/>
      <c r="AA24" s="17"/>
      <c r="AB24" s="17"/>
      <c r="AC24" s="17"/>
      <c r="AD24" s="17"/>
      <c r="AE24" s="17"/>
      <c r="AF24" s="17"/>
      <c r="AG24" s="17"/>
      <c r="AH24" s="17"/>
      <c r="AI24" s="17"/>
      <c r="AJ24" s="17"/>
      <c r="AK24" s="17"/>
    </row>
    <row r="25" spans="1:37"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row>
    <row r="26" spans="1:37"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row>
    <row r="27" spans="1:37"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row>
    <row r="28" spans="1:37"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row>
    <row r="29" spans="1:37"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row>
    <row r="30" spans="1:37"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row>
    <row r="31" spans="1:37"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row>
    <row r="32" spans="1:37"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row>
    <row r="33" spans="1:37"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row>
    <row r="34" spans="1:37"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row>
    <row r="35" spans="1:37"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row>
    <row r="36" spans="1:37"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row>
    <row r="37" spans="1:37"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row>
    <row r="38" spans="1:37"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row>
    <row r="39" spans="1:37"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row>
    <row r="40" spans="1:37"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row>
    <row r="41" spans="1:37"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row>
    <row r="42" spans="1:37"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row>
    <row r="43" spans="1:37"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row>
    <row r="44" spans="1:37"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row>
    <row r="45" spans="1:37"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row>
    <row r="46" spans="1:37"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row>
    <row r="47" spans="1:37"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row>
    <row r="48" spans="1:37"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row>
    <row r="49" spans="1:37"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row>
    <row r="50" spans="1:37"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row>
    <row r="51" spans="1:37"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row>
    <row r="52" spans="1:37"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row>
    <row r="53" spans="1:37"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row>
    <row r="54" spans="1:37"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row>
    <row r="55" spans="1:37"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row>
    <row r="56" spans="1:37"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row>
    <row r="57" spans="1:37"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row>
    <row r="58" spans="1:37"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row>
    <row r="59" spans="1:37"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row>
    <row r="60" spans="1:37"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row>
    <row r="61" spans="1:37"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row>
    <row r="62" spans="1:37"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row>
    <row r="63" spans="1:37"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row>
    <row r="64" spans="1:37"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row>
    <row r="65" spans="1:37"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row>
    <row r="66" spans="1:37"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row>
    <row r="67" spans="1:37"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row>
    <row r="68" spans="1:37"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row>
    <row r="69" spans="1:37"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row>
    <row r="70" spans="1:37"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row>
    <row r="71" spans="1:37"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row>
    <row r="72" spans="1:37"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row>
    <row r="73" spans="1:37"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row>
    <row r="74" spans="1:37"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row>
    <row r="75" spans="1:37"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row>
    <row r="76" spans="1:37"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row>
    <row r="77" spans="1:37"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row>
    <row r="78" spans="1:37"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row>
    <row r="79" spans="1:37"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row>
    <row r="80" spans="1:37"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row>
    <row r="81" spans="1:37"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row>
    <row r="82" spans="1:37"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row>
    <row r="83" spans="1:37"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row>
    <row r="84" spans="1:37"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row>
    <row r="85" spans="1:37"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row>
    <row r="86" spans="1:37"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row>
    <row r="87" spans="1:37"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row>
    <row r="88" spans="1:37"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row>
    <row r="89" spans="1:37"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row>
    <row r="90" spans="1:37"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row>
    <row r="91" spans="1:37"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row>
    <row r="92" spans="1:37"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row>
    <row r="93" spans="1:37"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row>
    <row r="94" spans="1:37"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row>
    <row r="95" spans="1:37"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row>
    <row r="96" spans="1:37"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row>
    <row r="97" spans="1:37"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row>
    <row r="98" spans="1:37"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row>
    <row r="99" spans="1:37"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row>
    <row r="100" spans="1:37"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row>
    <row r="101" spans="1:37"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row>
    <row r="102" spans="1:37"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row>
    <row r="103" spans="1:37"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row>
    <row r="104" spans="1:37"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ACFE2-DF08-4901-9B00-74AAE92EEF86}">
  <dimension ref="A1:M361"/>
  <sheetViews>
    <sheetView workbookViewId="0">
      <selection activeCell="E22" sqref="A1:M361"/>
    </sheetView>
  </sheetViews>
  <sheetFormatPr defaultRowHeight="14.4" x14ac:dyDescent="0.3"/>
  <cols>
    <col min="1" max="1" width="7.5546875" bestFit="1" customWidth="1"/>
    <col min="2" max="2" width="10.6640625" bestFit="1" customWidth="1"/>
    <col min="3" max="3" width="11.44140625" bestFit="1" customWidth="1"/>
    <col min="4" max="4" width="15.21875" bestFit="1" customWidth="1"/>
    <col min="5" max="5" width="16.77734375" bestFit="1" customWidth="1"/>
    <col min="6" max="6" width="9.77734375" bestFit="1" customWidth="1"/>
    <col min="7" max="7" width="7.6640625" bestFit="1" customWidth="1"/>
    <col min="8" max="8" width="12.5546875" bestFit="1" customWidth="1"/>
    <col min="9" max="9" width="10.109375" customWidth="1"/>
    <col min="10" max="10" width="22.77734375" bestFit="1" customWidth="1"/>
    <col min="11" max="11" width="15.77734375" bestFit="1" customWidth="1"/>
    <col min="12" max="12" width="14.33203125" bestFit="1" customWidth="1"/>
    <col min="13" max="13" width="20.77734375" bestFit="1" customWidth="1"/>
  </cols>
  <sheetData>
    <row r="1" spans="1:13" x14ac:dyDescent="0.3">
      <c r="A1" t="s">
        <v>0</v>
      </c>
      <c r="B1" t="s">
        <v>1</v>
      </c>
      <c r="C1" t="s">
        <v>2</v>
      </c>
      <c r="D1" t="s">
        <v>3</v>
      </c>
      <c r="E1" s="1" t="s">
        <v>4</v>
      </c>
      <c r="F1" t="s">
        <v>5</v>
      </c>
      <c r="G1" t="s">
        <v>6</v>
      </c>
      <c r="H1" t="s">
        <v>7</v>
      </c>
      <c r="I1" t="s">
        <v>8</v>
      </c>
      <c r="J1" t="s">
        <v>9</v>
      </c>
      <c r="K1" t="s">
        <v>10</v>
      </c>
      <c r="L1" t="s">
        <v>11</v>
      </c>
      <c r="M1" t="s">
        <v>12</v>
      </c>
    </row>
    <row r="2" spans="1:13" x14ac:dyDescent="0.3">
      <c r="A2">
        <v>1001</v>
      </c>
      <c r="B2" t="s">
        <v>13</v>
      </c>
      <c r="C2" t="s">
        <v>14</v>
      </c>
      <c r="D2" t="s">
        <v>15</v>
      </c>
      <c r="E2" s="1">
        <v>43517</v>
      </c>
      <c r="F2">
        <v>19</v>
      </c>
      <c r="G2" t="s">
        <v>16</v>
      </c>
      <c r="H2">
        <v>876778</v>
      </c>
      <c r="I2">
        <v>7012</v>
      </c>
      <c r="J2">
        <v>125.04</v>
      </c>
      <c r="K2">
        <v>433691.35</v>
      </c>
      <c r="L2">
        <v>348338.85</v>
      </c>
      <c r="M2">
        <v>94747.8</v>
      </c>
    </row>
    <row r="3" spans="1:13" x14ac:dyDescent="0.3">
      <c r="A3">
        <v>1001</v>
      </c>
      <c r="B3" t="s">
        <v>13</v>
      </c>
      <c r="C3" t="s">
        <v>14</v>
      </c>
      <c r="D3" t="s">
        <v>15</v>
      </c>
      <c r="E3" s="1">
        <v>43517</v>
      </c>
      <c r="F3">
        <v>19</v>
      </c>
      <c r="G3" t="s">
        <v>17</v>
      </c>
      <c r="H3">
        <v>1443716</v>
      </c>
      <c r="I3">
        <v>4424</v>
      </c>
      <c r="J3">
        <v>326.33999999999997</v>
      </c>
      <c r="K3">
        <v>820172.9</v>
      </c>
      <c r="L3">
        <v>370106.03</v>
      </c>
      <c r="M3">
        <v>253437.06999999899</v>
      </c>
    </row>
    <row r="4" spans="1:13" x14ac:dyDescent="0.3">
      <c r="A4">
        <v>1001</v>
      </c>
      <c r="B4" t="s">
        <v>13</v>
      </c>
      <c r="C4" t="s">
        <v>14</v>
      </c>
      <c r="D4" t="s">
        <v>15</v>
      </c>
      <c r="E4" s="1">
        <v>43517</v>
      </c>
      <c r="F4">
        <v>19</v>
      </c>
      <c r="G4" t="s">
        <v>18</v>
      </c>
      <c r="H4">
        <v>496493</v>
      </c>
      <c r="I4">
        <v>6582</v>
      </c>
      <c r="J4">
        <v>75.430000000000007</v>
      </c>
      <c r="K4">
        <v>246524.75</v>
      </c>
      <c r="L4">
        <v>183902.87</v>
      </c>
      <c r="M4">
        <v>66065.38</v>
      </c>
    </row>
    <row r="5" spans="1:13" x14ac:dyDescent="0.3">
      <c r="A5">
        <v>1001</v>
      </c>
      <c r="B5" t="s">
        <v>13</v>
      </c>
      <c r="C5" t="s">
        <v>14</v>
      </c>
      <c r="D5" t="s">
        <v>15</v>
      </c>
      <c r="E5" s="1">
        <v>43517</v>
      </c>
      <c r="F5">
        <v>19</v>
      </c>
      <c r="G5" t="s">
        <v>19</v>
      </c>
      <c r="H5">
        <v>1477016</v>
      </c>
      <c r="I5">
        <v>6257</v>
      </c>
      <c r="J5">
        <v>236.06</v>
      </c>
      <c r="K5">
        <v>876171.68</v>
      </c>
      <c r="L5">
        <v>576427.64</v>
      </c>
      <c r="M5">
        <v>24416.679999999898</v>
      </c>
    </row>
    <row r="6" spans="1:13" x14ac:dyDescent="0.3">
      <c r="A6">
        <v>1001</v>
      </c>
      <c r="B6" t="s">
        <v>13</v>
      </c>
      <c r="C6" t="s">
        <v>14</v>
      </c>
      <c r="D6" t="s">
        <v>15</v>
      </c>
      <c r="E6" s="1">
        <v>43517</v>
      </c>
      <c r="F6">
        <v>19</v>
      </c>
      <c r="G6" t="s">
        <v>20</v>
      </c>
      <c r="H6">
        <v>1179796</v>
      </c>
      <c r="I6">
        <v>6611</v>
      </c>
      <c r="J6">
        <v>178.46</v>
      </c>
      <c r="K6">
        <v>636903.21</v>
      </c>
      <c r="L6">
        <v>360590.66</v>
      </c>
      <c r="M6">
        <v>182302.13</v>
      </c>
    </row>
    <row r="7" spans="1:13" x14ac:dyDescent="0.3">
      <c r="A7">
        <v>1001</v>
      </c>
      <c r="B7" t="s">
        <v>13</v>
      </c>
      <c r="C7" t="s">
        <v>14</v>
      </c>
      <c r="D7" t="s">
        <v>15</v>
      </c>
      <c r="E7" s="1">
        <v>43517</v>
      </c>
      <c r="F7">
        <v>19</v>
      </c>
      <c r="G7" t="s">
        <v>21</v>
      </c>
      <c r="H7">
        <v>313628</v>
      </c>
      <c r="I7">
        <v>5615</v>
      </c>
      <c r="J7">
        <v>55.86</v>
      </c>
      <c r="K7">
        <v>184923.81</v>
      </c>
      <c r="L7">
        <v>99749.42</v>
      </c>
      <c r="M7">
        <v>28954.77</v>
      </c>
    </row>
    <row r="8" spans="1:13" x14ac:dyDescent="0.3">
      <c r="A8">
        <v>1001</v>
      </c>
      <c r="B8" t="s">
        <v>13</v>
      </c>
      <c r="C8" t="s">
        <v>14</v>
      </c>
      <c r="D8" t="s">
        <v>15</v>
      </c>
      <c r="E8" s="1">
        <v>43517</v>
      </c>
      <c r="F8">
        <v>19</v>
      </c>
      <c r="G8" t="s">
        <v>22</v>
      </c>
      <c r="H8">
        <v>626064</v>
      </c>
      <c r="I8">
        <v>6527</v>
      </c>
      <c r="J8">
        <v>95.92</v>
      </c>
      <c r="K8">
        <v>401584.13</v>
      </c>
      <c r="L8">
        <v>198661.95</v>
      </c>
      <c r="M8">
        <v>25817.9199999999</v>
      </c>
    </row>
    <row r="9" spans="1:13" x14ac:dyDescent="0.3">
      <c r="A9">
        <v>1001</v>
      </c>
      <c r="B9" t="s">
        <v>13</v>
      </c>
      <c r="C9" t="s">
        <v>14</v>
      </c>
      <c r="D9" t="s">
        <v>15</v>
      </c>
      <c r="E9" s="1">
        <v>43517</v>
      </c>
      <c r="F9">
        <v>19</v>
      </c>
      <c r="G9" t="s">
        <v>23</v>
      </c>
      <c r="H9">
        <v>494502</v>
      </c>
      <c r="I9">
        <v>9224</v>
      </c>
      <c r="J9">
        <v>53.61</v>
      </c>
      <c r="K9">
        <v>232091.19</v>
      </c>
      <c r="L9">
        <v>207443.03</v>
      </c>
      <c r="M9">
        <v>54967.78</v>
      </c>
    </row>
    <row r="10" spans="1:13" x14ac:dyDescent="0.3">
      <c r="A10">
        <v>1001</v>
      </c>
      <c r="B10" t="s">
        <v>13</v>
      </c>
      <c r="C10" t="s">
        <v>14</v>
      </c>
      <c r="D10" t="s">
        <v>15</v>
      </c>
      <c r="E10" s="1">
        <v>43517</v>
      </c>
      <c r="F10">
        <v>19</v>
      </c>
      <c r="G10" t="s">
        <v>24</v>
      </c>
      <c r="H10">
        <v>854740</v>
      </c>
      <c r="I10">
        <v>3711</v>
      </c>
      <c r="J10">
        <v>230.33</v>
      </c>
      <c r="K10">
        <v>509379.19</v>
      </c>
      <c r="L10">
        <v>305352.12</v>
      </c>
      <c r="M10">
        <v>40008.69</v>
      </c>
    </row>
    <row r="11" spans="1:13" x14ac:dyDescent="0.3">
      <c r="A11">
        <v>1001</v>
      </c>
      <c r="B11" t="s">
        <v>13</v>
      </c>
      <c r="C11" t="s">
        <v>14</v>
      </c>
      <c r="D11" t="s">
        <v>15</v>
      </c>
      <c r="E11" s="1">
        <v>43517</v>
      </c>
      <c r="F11">
        <v>19</v>
      </c>
      <c r="G11" t="s">
        <v>25</v>
      </c>
      <c r="H11">
        <v>1093844</v>
      </c>
      <c r="I11">
        <v>4291</v>
      </c>
      <c r="J11">
        <v>254.92</v>
      </c>
      <c r="K11">
        <v>612999.06999999995</v>
      </c>
      <c r="L11">
        <v>454908.86</v>
      </c>
      <c r="M11">
        <v>25936.07</v>
      </c>
    </row>
    <row r="12" spans="1:13" x14ac:dyDescent="0.3">
      <c r="A12">
        <v>1001</v>
      </c>
      <c r="B12" t="s">
        <v>13</v>
      </c>
      <c r="C12" t="s">
        <v>14</v>
      </c>
      <c r="D12" t="s">
        <v>15</v>
      </c>
      <c r="E12" s="1">
        <v>43517</v>
      </c>
      <c r="F12">
        <v>19</v>
      </c>
      <c r="G12" t="s">
        <v>26</v>
      </c>
      <c r="H12">
        <v>1058403</v>
      </c>
      <c r="I12">
        <v>12459</v>
      </c>
      <c r="J12">
        <v>84.95</v>
      </c>
      <c r="K12">
        <v>516985.11</v>
      </c>
      <c r="L12">
        <v>279324.23</v>
      </c>
      <c r="M12">
        <v>262093.66</v>
      </c>
    </row>
    <row r="13" spans="1:13" x14ac:dyDescent="0.3">
      <c r="A13">
        <v>1001</v>
      </c>
      <c r="B13" t="s">
        <v>13</v>
      </c>
      <c r="C13" t="s">
        <v>14</v>
      </c>
      <c r="D13" t="s">
        <v>15</v>
      </c>
      <c r="E13" s="1">
        <v>43517</v>
      </c>
      <c r="F13">
        <v>19</v>
      </c>
      <c r="G13" t="s">
        <v>27</v>
      </c>
      <c r="H13">
        <v>777937</v>
      </c>
      <c r="I13">
        <v>7741</v>
      </c>
      <c r="J13">
        <v>100.5</v>
      </c>
      <c r="K13">
        <v>503359.7</v>
      </c>
      <c r="L13">
        <v>327560.90999999997</v>
      </c>
      <c r="M13">
        <v>-52983.609999999899</v>
      </c>
    </row>
    <row r="14" spans="1:13" x14ac:dyDescent="0.3">
      <c r="A14">
        <v>1002</v>
      </c>
      <c r="B14" t="s">
        <v>13</v>
      </c>
      <c r="C14" t="s">
        <v>14</v>
      </c>
      <c r="D14" t="s">
        <v>15</v>
      </c>
      <c r="E14" s="1">
        <v>44244</v>
      </c>
      <c r="F14">
        <v>12</v>
      </c>
      <c r="G14" t="s">
        <v>16</v>
      </c>
      <c r="H14">
        <v>1250870</v>
      </c>
      <c r="I14">
        <v>13415</v>
      </c>
      <c r="J14">
        <v>93.24</v>
      </c>
      <c r="K14">
        <v>771564.24</v>
      </c>
      <c r="L14">
        <v>353409.33</v>
      </c>
      <c r="M14">
        <v>125896.43</v>
      </c>
    </row>
    <row r="15" spans="1:13" x14ac:dyDescent="0.3">
      <c r="A15">
        <v>1002</v>
      </c>
      <c r="B15" t="s">
        <v>13</v>
      </c>
      <c r="C15" t="s">
        <v>14</v>
      </c>
      <c r="D15" t="s">
        <v>15</v>
      </c>
      <c r="E15" s="1">
        <v>44244</v>
      </c>
      <c r="F15">
        <v>12</v>
      </c>
      <c r="G15" t="s">
        <v>17</v>
      </c>
      <c r="H15">
        <v>1045056</v>
      </c>
      <c r="I15">
        <v>6432</v>
      </c>
      <c r="J15">
        <v>162.47999999999999</v>
      </c>
      <c r="K15">
        <v>610349.31999999995</v>
      </c>
      <c r="L15">
        <v>407952.31</v>
      </c>
      <c r="M15">
        <v>26754.37</v>
      </c>
    </row>
    <row r="16" spans="1:13" x14ac:dyDescent="0.3">
      <c r="A16">
        <v>1002</v>
      </c>
      <c r="B16" t="s">
        <v>13</v>
      </c>
      <c r="C16" t="s">
        <v>14</v>
      </c>
      <c r="D16" t="s">
        <v>15</v>
      </c>
      <c r="E16" s="1">
        <v>44244</v>
      </c>
      <c r="F16">
        <v>12</v>
      </c>
      <c r="G16" t="s">
        <v>18</v>
      </c>
      <c r="H16">
        <v>449741</v>
      </c>
      <c r="I16">
        <v>12980</v>
      </c>
      <c r="J16">
        <v>34.65</v>
      </c>
      <c r="K16">
        <v>259498.6</v>
      </c>
      <c r="L16">
        <v>160480.17000000001</v>
      </c>
      <c r="M16">
        <v>29762.229999999901</v>
      </c>
    </row>
    <row r="17" spans="1:13" x14ac:dyDescent="0.3">
      <c r="A17">
        <v>1002</v>
      </c>
      <c r="B17" t="s">
        <v>13</v>
      </c>
      <c r="C17" t="s">
        <v>14</v>
      </c>
      <c r="D17" t="s">
        <v>15</v>
      </c>
      <c r="E17" s="1">
        <v>44244</v>
      </c>
      <c r="F17">
        <v>12</v>
      </c>
      <c r="G17" t="s">
        <v>19</v>
      </c>
      <c r="H17">
        <v>813405</v>
      </c>
      <c r="I17">
        <v>5677</v>
      </c>
      <c r="J17">
        <v>143.28</v>
      </c>
      <c r="K17">
        <v>441233.2</v>
      </c>
      <c r="L17">
        <v>247266.63</v>
      </c>
      <c r="M17">
        <v>124905.16999999899</v>
      </c>
    </row>
    <row r="18" spans="1:13" x14ac:dyDescent="0.3">
      <c r="A18">
        <v>1002</v>
      </c>
      <c r="B18" t="s">
        <v>13</v>
      </c>
      <c r="C18" t="s">
        <v>14</v>
      </c>
      <c r="D18" t="s">
        <v>15</v>
      </c>
      <c r="E18" s="1">
        <v>44244</v>
      </c>
      <c r="F18">
        <v>12</v>
      </c>
      <c r="G18" t="s">
        <v>20</v>
      </c>
      <c r="H18">
        <v>1468008</v>
      </c>
      <c r="I18">
        <v>6598</v>
      </c>
      <c r="J18">
        <v>222.49</v>
      </c>
      <c r="K18">
        <v>861607.44</v>
      </c>
      <c r="L18">
        <v>614464.67000000004</v>
      </c>
      <c r="M18">
        <v>-8064.1099999999797</v>
      </c>
    </row>
    <row r="19" spans="1:13" x14ac:dyDescent="0.3">
      <c r="A19">
        <v>1002</v>
      </c>
      <c r="B19" t="s">
        <v>13</v>
      </c>
      <c r="C19" t="s">
        <v>14</v>
      </c>
      <c r="D19" t="s">
        <v>15</v>
      </c>
      <c r="E19" s="1">
        <v>44244</v>
      </c>
      <c r="F19">
        <v>12</v>
      </c>
      <c r="G19" t="s">
        <v>21</v>
      </c>
      <c r="H19">
        <v>417310</v>
      </c>
      <c r="I19">
        <v>6752</v>
      </c>
      <c r="J19">
        <v>61.81</v>
      </c>
      <c r="K19">
        <v>256378.79</v>
      </c>
      <c r="L19">
        <v>171518.23</v>
      </c>
      <c r="M19">
        <v>-10587.02</v>
      </c>
    </row>
    <row r="20" spans="1:13" x14ac:dyDescent="0.3">
      <c r="A20">
        <v>1002</v>
      </c>
      <c r="B20" t="s">
        <v>13</v>
      </c>
      <c r="C20" t="s">
        <v>14</v>
      </c>
      <c r="D20" t="s">
        <v>15</v>
      </c>
      <c r="E20" s="1">
        <v>44244</v>
      </c>
      <c r="F20">
        <v>12</v>
      </c>
      <c r="G20" t="s">
        <v>22</v>
      </c>
      <c r="H20">
        <v>1141303</v>
      </c>
      <c r="I20">
        <v>7386</v>
      </c>
      <c r="J20">
        <v>154.52000000000001</v>
      </c>
      <c r="K20">
        <v>528694.6</v>
      </c>
      <c r="L20">
        <v>493758.75</v>
      </c>
      <c r="M20">
        <v>118849.65</v>
      </c>
    </row>
    <row r="21" spans="1:13" x14ac:dyDescent="0.3">
      <c r="A21">
        <v>1002</v>
      </c>
      <c r="B21" t="s">
        <v>13</v>
      </c>
      <c r="C21" t="s">
        <v>14</v>
      </c>
      <c r="D21" t="s">
        <v>15</v>
      </c>
      <c r="E21" s="1">
        <v>44244</v>
      </c>
      <c r="F21">
        <v>12</v>
      </c>
      <c r="G21" t="s">
        <v>23</v>
      </c>
      <c r="H21">
        <v>1489462</v>
      </c>
      <c r="I21">
        <v>14762</v>
      </c>
      <c r="J21">
        <v>100.9</v>
      </c>
      <c r="K21">
        <v>763998.05</v>
      </c>
      <c r="L21">
        <v>567615.69999999995</v>
      </c>
      <c r="M21">
        <v>157848.25</v>
      </c>
    </row>
    <row r="22" spans="1:13" x14ac:dyDescent="0.3">
      <c r="A22">
        <v>1002</v>
      </c>
      <c r="B22" t="s">
        <v>13</v>
      </c>
      <c r="C22" t="s">
        <v>14</v>
      </c>
      <c r="D22" t="s">
        <v>15</v>
      </c>
      <c r="E22" s="1">
        <v>44244</v>
      </c>
      <c r="F22">
        <v>12</v>
      </c>
      <c r="G22" t="s">
        <v>24</v>
      </c>
      <c r="H22">
        <v>1129700</v>
      </c>
      <c r="I22">
        <v>13532</v>
      </c>
      <c r="J22">
        <v>83.48</v>
      </c>
      <c r="K22">
        <v>612037.99</v>
      </c>
      <c r="L22">
        <v>342272.02</v>
      </c>
      <c r="M22">
        <v>175389.99</v>
      </c>
    </row>
    <row r="23" spans="1:13" x14ac:dyDescent="0.3">
      <c r="A23">
        <v>1002</v>
      </c>
      <c r="B23" t="s">
        <v>13</v>
      </c>
      <c r="C23" t="s">
        <v>14</v>
      </c>
      <c r="D23" t="s">
        <v>15</v>
      </c>
      <c r="E23" s="1">
        <v>44244</v>
      </c>
      <c r="F23">
        <v>12</v>
      </c>
      <c r="G23" t="s">
        <v>25</v>
      </c>
      <c r="H23">
        <v>817215</v>
      </c>
      <c r="I23">
        <v>12197</v>
      </c>
      <c r="J23">
        <v>67</v>
      </c>
      <c r="K23">
        <v>455838.82</v>
      </c>
      <c r="L23">
        <v>326397.93</v>
      </c>
      <c r="M23">
        <v>34978.25</v>
      </c>
    </row>
    <row r="24" spans="1:13" x14ac:dyDescent="0.3">
      <c r="A24">
        <v>1002</v>
      </c>
      <c r="B24" t="s">
        <v>13</v>
      </c>
      <c r="C24" t="s">
        <v>14</v>
      </c>
      <c r="D24" t="s">
        <v>15</v>
      </c>
      <c r="E24" s="1">
        <v>44244</v>
      </c>
      <c r="F24">
        <v>12</v>
      </c>
      <c r="G24" t="s">
        <v>26</v>
      </c>
      <c r="H24">
        <v>1198490</v>
      </c>
      <c r="I24">
        <v>12560</v>
      </c>
      <c r="J24">
        <v>95.42</v>
      </c>
      <c r="K24">
        <v>635056</v>
      </c>
      <c r="L24">
        <v>352193.25</v>
      </c>
      <c r="M24">
        <v>211240.75</v>
      </c>
    </row>
    <row r="25" spans="1:13" x14ac:dyDescent="0.3">
      <c r="A25">
        <v>1002</v>
      </c>
      <c r="B25" t="s">
        <v>13</v>
      </c>
      <c r="C25" t="s">
        <v>14</v>
      </c>
      <c r="D25" t="s">
        <v>15</v>
      </c>
      <c r="E25" s="1">
        <v>44244</v>
      </c>
      <c r="F25">
        <v>12</v>
      </c>
      <c r="G25" t="s">
        <v>27</v>
      </c>
      <c r="H25">
        <v>590102</v>
      </c>
      <c r="I25">
        <v>11348</v>
      </c>
      <c r="J25">
        <v>52</v>
      </c>
      <c r="K25">
        <v>323790.84000000003</v>
      </c>
      <c r="L25">
        <v>236723.21</v>
      </c>
      <c r="M25">
        <v>29587.949999999899</v>
      </c>
    </row>
    <row r="26" spans="1:13" x14ac:dyDescent="0.3">
      <c r="A26">
        <v>1003</v>
      </c>
      <c r="B26" t="s">
        <v>13</v>
      </c>
      <c r="C26" t="s">
        <v>14</v>
      </c>
      <c r="D26" t="s">
        <v>15</v>
      </c>
      <c r="E26" s="1">
        <v>43779</v>
      </c>
      <c r="F26">
        <v>18</v>
      </c>
      <c r="G26" t="s">
        <v>16</v>
      </c>
      <c r="H26">
        <v>635506</v>
      </c>
      <c r="I26">
        <v>14149</v>
      </c>
      <c r="J26">
        <v>44.92</v>
      </c>
      <c r="K26">
        <v>339634.74</v>
      </c>
      <c r="L26">
        <v>166950.95000000001</v>
      </c>
      <c r="M26">
        <v>128920.31</v>
      </c>
    </row>
    <row r="27" spans="1:13" x14ac:dyDescent="0.3">
      <c r="A27">
        <v>1003</v>
      </c>
      <c r="B27" t="s">
        <v>13</v>
      </c>
      <c r="C27" t="s">
        <v>14</v>
      </c>
      <c r="D27" t="s">
        <v>15</v>
      </c>
      <c r="E27" s="1">
        <v>43779</v>
      </c>
      <c r="F27">
        <v>18</v>
      </c>
      <c r="G27" t="s">
        <v>17</v>
      </c>
      <c r="H27">
        <v>1100313</v>
      </c>
      <c r="I27">
        <v>12763</v>
      </c>
      <c r="J27">
        <v>86.21</v>
      </c>
      <c r="K27">
        <v>714349.91</v>
      </c>
      <c r="L27">
        <v>391516.53</v>
      </c>
      <c r="M27">
        <v>-5553.4400000000596</v>
      </c>
    </row>
    <row r="28" spans="1:13" x14ac:dyDescent="0.3">
      <c r="A28">
        <v>1003</v>
      </c>
      <c r="B28" t="s">
        <v>13</v>
      </c>
      <c r="C28" t="s">
        <v>14</v>
      </c>
      <c r="D28" t="s">
        <v>15</v>
      </c>
      <c r="E28" s="1">
        <v>43779</v>
      </c>
      <c r="F28">
        <v>18</v>
      </c>
      <c r="G28" t="s">
        <v>18</v>
      </c>
      <c r="H28">
        <v>1460198</v>
      </c>
      <c r="I28">
        <v>3188</v>
      </c>
      <c r="J28">
        <v>458.03</v>
      </c>
      <c r="K28">
        <v>855758.8</v>
      </c>
      <c r="L28">
        <v>398503.15</v>
      </c>
      <c r="M28">
        <v>205936.049999999</v>
      </c>
    </row>
    <row r="29" spans="1:13" x14ac:dyDescent="0.3">
      <c r="A29">
        <v>1003</v>
      </c>
      <c r="B29" t="s">
        <v>13</v>
      </c>
      <c r="C29" t="s">
        <v>14</v>
      </c>
      <c r="D29" t="s">
        <v>15</v>
      </c>
      <c r="E29" s="1">
        <v>43779</v>
      </c>
      <c r="F29">
        <v>18</v>
      </c>
      <c r="G29" t="s">
        <v>19</v>
      </c>
      <c r="H29">
        <v>1426108</v>
      </c>
      <c r="I29">
        <v>7371</v>
      </c>
      <c r="J29">
        <v>193.48</v>
      </c>
      <c r="K29">
        <v>860969.56</v>
      </c>
      <c r="L29">
        <v>453552.39</v>
      </c>
      <c r="M29">
        <v>111586.049999999</v>
      </c>
    </row>
    <row r="30" spans="1:13" x14ac:dyDescent="0.3">
      <c r="A30">
        <v>1003</v>
      </c>
      <c r="B30" t="s">
        <v>13</v>
      </c>
      <c r="C30" t="s">
        <v>14</v>
      </c>
      <c r="D30" t="s">
        <v>15</v>
      </c>
      <c r="E30" s="1">
        <v>43779</v>
      </c>
      <c r="F30">
        <v>18</v>
      </c>
      <c r="G30" t="s">
        <v>20</v>
      </c>
      <c r="H30">
        <v>915514</v>
      </c>
      <c r="I30">
        <v>10123</v>
      </c>
      <c r="J30">
        <v>90.44</v>
      </c>
      <c r="K30">
        <v>440940.43</v>
      </c>
      <c r="L30">
        <v>229472.73</v>
      </c>
      <c r="M30">
        <v>245100.84</v>
      </c>
    </row>
    <row r="31" spans="1:13" x14ac:dyDescent="0.3">
      <c r="A31">
        <v>1003</v>
      </c>
      <c r="B31" t="s">
        <v>13</v>
      </c>
      <c r="C31" t="s">
        <v>14</v>
      </c>
      <c r="D31" t="s">
        <v>15</v>
      </c>
      <c r="E31" s="1">
        <v>43779</v>
      </c>
      <c r="F31">
        <v>18</v>
      </c>
      <c r="G31" t="s">
        <v>21</v>
      </c>
      <c r="H31">
        <v>852366</v>
      </c>
      <c r="I31">
        <v>11201</v>
      </c>
      <c r="J31">
        <v>76.099999999999994</v>
      </c>
      <c r="K31">
        <v>513458.83</v>
      </c>
      <c r="L31">
        <v>299637.62</v>
      </c>
      <c r="M31">
        <v>39269.549999999901</v>
      </c>
    </row>
    <row r="32" spans="1:13" x14ac:dyDescent="0.3">
      <c r="A32">
        <v>1003</v>
      </c>
      <c r="B32" t="s">
        <v>13</v>
      </c>
      <c r="C32" t="s">
        <v>14</v>
      </c>
      <c r="D32" t="s">
        <v>15</v>
      </c>
      <c r="E32" s="1">
        <v>43779</v>
      </c>
      <c r="F32">
        <v>18</v>
      </c>
      <c r="G32" t="s">
        <v>22</v>
      </c>
      <c r="H32">
        <v>523159</v>
      </c>
      <c r="I32">
        <v>13244</v>
      </c>
      <c r="J32">
        <v>39.5</v>
      </c>
      <c r="K32">
        <v>266648.37</v>
      </c>
      <c r="L32">
        <v>197644.19</v>
      </c>
      <c r="M32">
        <v>58866.44</v>
      </c>
    </row>
    <row r="33" spans="1:13" x14ac:dyDescent="0.3">
      <c r="A33">
        <v>1003</v>
      </c>
      <c r="B33" t="s">
        <v>13</v>
      </c>
      <c r="C33" t="s">
        <v>14</v>
      </c>
      <c r="D33" t="s">
        <v>15</v>
      </c>
      <c r="E33" s="1">
        <v>43779</v>
      </c>
      <c r="F33">
        <v>18</v>
      </c>
      <c r="G33" t="s">
        <v>23</v>
      </c>
      <c r="H33">
        <v>717146</v>
      </c>
      <c r="I33">
        <v>5504</v>
      </c>
      <c r="J33">
        <v>130.30000000000001</v>
      </c>
      <c r="K33">
        <v>376345.86</v>
      </c>
      <c r="L33">
        <v>202457.35</v>
      </c>
      <c r="M33">
        <v>138342.79</v>
      </c>
    </row>
    <row r="34" spans="1:13" x14ac:dyDescent="0.3">
      <c r="A34">
        <v>1003</v>
      </c>
      <c r="B34" t="s">
        <v>13</v>
      </c>
      <c r="C34" t="s">
        <v>14</v>
      </c>
      <c r="D34" t="s">
        <v>15</v>
      </c>
      <c r="E34" s="1">
        <v>43779</v>
      </c>
      <c r="F34">
        <v>18</v>
      </c>
      <c r="G34" t="s">
        <v>24</v>
      </c>
      <c r="H34">
        <v>1412232</v>
      </c>
      <c r="I34">
        <v>3009</v>
      </c>
      <c r="J34">
        <v>469.34</v>
      </c>
      <c r="K34">
        <v>804674.14</v>
      </c>
      <c r="L34">
        <v>491062.92</v>
      </c>
      <c r="M34">
        <v>116494.94</v>
      </c>
    </row>
    <row r="35" spans="1:13" x14ac:dyDescent="0.3">
      <c r="A35">
        <v>1003</v>
      </c>
      <c r="B35" t="s">
        <v>13</v>
      </c>
      <c r="C35" t="s">
        <v>14</v>
      </c>
      <c r="D35" t="s">
        <v>15</v>
      </c>
      <c r="E35" s="1">
        <v>43779</v>
      </c>
      <c r="F35">
        <v>18</v>
      </c>
      <c r="G35" t="s">
        <v>25</v>
      </c>
      <c r="H35">
        <v>534603</v>
      </c>
      <c r="I35">
        <v>8947</v>
      </c>
      <c r="J35">
        <v>59.75</v>
      </c>
      <c r="K35">
        <v>334524.82</v>
      </c>
      <c r="L35">
        <v>222572.93</v>
      </c>
      <c r="M35">
        <v>-22494.75</v>
      </c>
    </row>
    <row r="36" spans="1:13" x14ac:dyDescent="0.3">
      <c r="A36">
        <v>1003</v>
      </c>
      <c r="B36" t="s">
        <v>13</v>
      </c>
      <c r="C36" t="s">
        <v>14</v>
      </c>
      <c r="D36" t="s">
        <v>15</v>
      </c>
      <c r="E36" s="1">
        <v>43779</v>
      </c>
      <c r="F36">
        <v>18</v>
      </c>
      <c r="G36" t="s">
        <v>26</v>
      </c>
      <c r="H36">
        <v>944903</v>
      </c>
      <c r="I36">
        <v>6923</v>
      </c>
      <c r="J36">
        <v>136.49</v>
      </c>
      <c r="K36">
        <v>436153.08</v>
      </c>
      <c r="L36">
        <v>402152.53</v>
      </c>
      <c r="M36">
        <v>106597.389999999</v>
      </c>
    </row>
    <row r="37" spans="1:13" x14ac:dyDescent="0.3">
      <c r="A37">
        <v>1003</v>
      </c>
      <c r="B37" t="s">
        <v>13</v>
      </c>
      <c r="C37" t="s">
        <v>14</v>
      </c>
      <c r="D37" t="s">
        <v>15</v>
      </c>
      <c r="E37" s="1">
        <v>43779</v>
      </c>
      <c r="F37">
        <v>18</v>
      </c>
      <c r="G37" t="s">
        <v>27</v>
      </c>
      <c r="H37">
        <v>465165</v>
      </c>
      <c r="I37">
        <v>4403</v>
      </c>
      <c r="J37">
        <v>105.65</v>
      </c>
      <c r="K37">
        <v>277415.81</v>
      </c>
      <c r="L37">
        <v>192208.34</v>
      </c>
      <c r="M37">
        <v>-4459.1499999999896</v>
      </c>
    </row>
    <row r="38" spans="1:13" x14ac:dyDescent="0.3">
      <c r="A38">
        <v>1004</v>
      </c>
      <c r="B38" t="s">
        <v>28</v>
      </c>
      <c r="C38" t="s">
        <v>28</v>
      </c>
      <c r="D38" t="s">
        <v>15</v>
      </c>
      <c r="E38" s="1">
        <v>43728</v>
      </c>
      <c r="F38">
        <v>18</v>
      </c>
      <c r="G38" t="s">
        <v>16</v>
      </c>
      <c r="H38">
        <v>1296739</v>
      </c>
      <c r="I38">
        <v>12007</v>
      </c>
      <c r="J38">
        <v>108</v>
      </c>
      <c r="K38">
        <v>626357.86</v>
      </c>
      <c r="L38">
        <v>461035.79</v>
      </c>
      <c r="M38">
        <v>209345.35</v>
      </c>
    </row>
    <row r="39" spans="1:13" x14ac:dyDescent="0.3">
      <c r="A39">
        <v>1004</v>
      </c>
      <c r="B39" t="s">
        <v>28</v>
      </c>
      <c r="C39" t="s">
        <v>28</v>
      </c>
      <c r="D39" t="s">
        <v>15</v>
      </c>
      <c r="E39" s="1">
        <v>43728</v>
      </c>
      <c r="F39">
        <v>18</v>
      </c>
      <c r="G39" t="s">
        <v>17</v>
      </c>
      <c r="H39">
        <v>1187384</v>
      </c>
      <c r="I39">
        <v>6470</v>
      </c>
      <c r="J39">
        <v>183.52</v>
      </c>
      <c r="K39">
        <v>754918.2</v>
      </c>
      <c r="L39">
        <v>476203.96</v>
      </c>
      <c r="M39">
        <v>-43738.159999999902</v>
      </c>
    </row>
    <row r="40" spans="1:13" x14ac:dyDescent="0.3">
      <c r="A40">
        <v>1004</v>
      </c>
      <c r="B40" t="s">
        <v>28</v>
      </c>
      <c r="C40" t="s">
        <v>28</v>
      </c>
      <c r="D40" t="s">
        <v>15</v>
      </c>
      <c r="E40" s="1">
        <v>43728</v>
      </c>
      <c r="F40">
        <v>18</v>
      </c>
      <c r="G40" t="s">
        <v>18</v>
      </c>
      <c r="H40">
        <v>721844</v>
      </c>
      <c r="I40">
        <v>14680</v>
      </c>
      <c r="J40">
        <v>49.17</v>
      </c>
      <c r="K40">
        <v>369831.91</v>
      </c>
      <c r="L40">
        <v>324129.52</v>
      </c>
      <c r="M40">
        <v>27882.57</v>
      </c>
    </row>
    <row r="41" spans="1:13" x14ac:dyDescent="0.3">
      <c r="A41">
        <v>1004</v>
      </c>
      <c r="B41" t="s">
        <v>28</v>
      </c>
      <c r="C41" t="s">
        <v>28</v>
      </c>
      <c r="D41" t="s">
        <v>15</v>
      </c>
      <c r="E41" s="1">
        <v>43728</v>
      </c>
      <c r="F41">
        <v>18</v>
      </c>
      <c r="G41" t="s">
        <v>19</v>
      </c>
      <c r="H41">
        <v>1083119</v>
      </c>
      <c r="I41">
        <v>10177</v>
      </c>
      <c r="J41">
        <v>106.43</v>
      </c>
      <c r="K41">
        <v>682281.37</v>
      </c>
      <c r="L41">
        <v>368582.39</v>
      </c>
      <c r="M41">
        <v>32255.2399999999</v>
      </c>
    </row>
    <row r="42" spans="1:13" x14ac:dyDescent="0.3">
      <c r="A42">
        <v>1004</v>
      </c>
      <c r="B42" t="s">
        <v>28</v>
      </c>
      <c r="C42" t="s">
        <v>28</v>
      </c>
      <c r="D42" t="s">
        <v>15</v>
      </c>
      <c r="E42" s="1">
        <v>43728</v>
      </c>
      <c r="F42">
        <v>18</v>
      </c>
      <c r="G42" t="s">
        <v>20</v>
      </c>
      <c r="H42">
        <v>819895</v>
      </c>
      <c r="I42">
        <v>6681</v>
      </c>
      <c r="J42">
        <v>122.72</v>
      </c>
      <c r="K42">
        <v>379451.65</v>
      </c>
      <c r="L42">
        <v>208422.93</v>
      </c>
      <c r="M42">
        <v>232020.41999999899</v>
      </c>
    </row>
    <row r="43" spans="1:13" x14ac:dyDescent="0.3">
      <c r="A43">
        <v>1004</v>
      </c>
      <c r="B43" t="s">
        <v>28</v>
      </c>
      <c r="C43" t="s">
        <v>28</v>
      </c>
      <c r="D43" t="s">
        <v>15</v>
      </c>
      <c r="E43" s="1">
        <v>43728</v>
      </c>
      <c r="F43">
        <v>18</v>
      </c>
      <c r="G43" t="s">
        <v>21</v>
      </c>
      <c r="H43">
        <v>1461657</v>
      </c>
      <c r="I43">
        <v>6770</v>
      </c>
      <c r="J43">
        <v>215.9</v>
      </c>
      <c r="K43">
        <v>829765.17</v>
      </c>
      <c r="L43">
        <v>367516.36</v>
      </c>
      <c r="M43">
        <v>264375.46999999997</v>
      </c>
    </row>
    <row r="44" spans="1:13" x14ac:dyDescent="0.3">
      <c r="A44">
        <v>1004</v>
      </c>
      <c r="B44" t="s">
        <v>28</v>
      </c>
      <c r="C44" t="s">
        <v>28</v>
      </c>
      <c r="D44" t="s">
        <v>15</v>
      </c>
      <c r="E44" s="1">
        <v>43728</v>
      </c>
      <c r="F44">
        <v>18</v>
      </c>
      <c r="G44" t="s">
        <v>22</v>
      </c>
      <c r="H44">
        <v>423467</v>
      </c>
      <c r="I44">
        <v>6750</v>
      </c>
      <c r="J44">
        <v>62.74</v>
      </c>
      <c r="K44">
        <v>196268.51</v>
      </c>
      <c r="L44">
        <v>108527.22</v>
      </c>
      <c r="M44">
        <v>118671.269999999</v>
      </c>
    </row>
    <row r="45" spans="1:13" x14ac:dyDescent="0.3">
      <c r="A45">
        <v>1004</v>
      </c>
      <c r="B45" t="s">
        <v>28</v>
      </c>
      <c r="C45" t="s">
        <v>28</v>
      </c>
      <c r="D45" t="s">
        <v>15</v>
      </c>
      <c r="E45" s="1">
        <v>43728</v>
      </c>
      <c r="F45">
        <v>18</v>
      </c>
      <c r="G45" t="s">
        <v>23</v>
      </c>
      <c r="H45">
        <v>992958</v>
      </c>
      <c r="I45">
        <v>4160</v>
      </c>
      <c r="J45">
        <v>238.69</v>
      </c>
      <c r="K45">
        <v>548938.18999999994</v>
      </c>
      <c r="L45">
        <v>303542.75</v>
      </c>
      <c r="M45">
        <v>140477.06</v>
      </c>
    </row>
    <row r="46" spans="1:13" x14ac:dyDescent="0.3">
      <c r="A46">
        <v>1004</v>
      </c>
      <c r="B46" t="s">
        <v>28</v>
      </c>
      <c r="C46" t="s">
        <v>28</v>
      </c>
      <c r="D46" t="s">
        <v>15</v>
      </c>
      <c r="E46" s="1">
        <v>43728</v>
      </c>
      <c r="F46">
        <v>18</v>
      </c>
      <c r="G46" t="s">
        <v>24</v>
      </c>
      <c r="H46">
        <v>1317987</v>
      </c>
      <c r="I46">
        <v>6510</v>
      </c>
      <c r="J46">
        <v>202.46</v>
      </c>
      <c r="K46">
        <v>735234.81</v>
      </c>
      <c r="L46">
        <v>520170.61</v>
      </c>
      <c r="M46">
        <v>62581.5799999999</v>
      </c>
    </row>
    <row r="47" spans="1:13" x14ac:dyDescent="0.3">
      <c r="A47">
        <v>1004</v>
      </c>
      <c r="B47" t="s">
        <v>28</v>
      </c>
      <c r="C47" t="s">
        <v>28</v>
      </c>
      <c r="D47" t="s">
        <v>15</v>
      </c>
      <c r="E47" s="1">
        <v>43728</v>
      </c>
      <c r="F47">
        <v>18</v>
      </c>
      <c r="G47" t="s">
        <v>25</v>
      </c>
      <c r="H47">
        <v>1497564</v>
      </c>
      <c r="I47">
        <v>12440</v>
      </c>
      <c r="J47">
        <v>120.38</v>
      </c>
      <c r="K47">
        <v>815474.82</v>
      </c>
      <c r="L47">
        <v>609394.56000000006</v>
      </c>
      <c r="M47">
        <v>72694.62</v>
      </c>
    </row>
    <row r="48" spans="1:13" x14ac:dyDescent="0.3">
      <c r="A48">
        <v>1004</v>
      </c>
      <c r="B48" t="s">
        <v>28</v>
      </c>
      <c r="C48" t="s">
        <v>28</v>
      </c>
      <c r="D48" t="s">
        <v>15</v>
      </c>
      <c r="E48" s="1">
        <v>43728</v>
      </c>
      <c r="F48">
        <v>18</v>
      </c>
      <c r="G48" t="s">
        <v>26</v>
      </c>
      <c r="H48">
        <v>1153666</v>
      </c>
      <c r="I48">
        <v>6119</v>
      </c>
      <c r="J48">
        <v>188.54</v>
      </c>
      <c r="K48">
        <v>540913.79</v>
      </c>
      <c r="L48">
        <v>440465.7</v>
      </c>
      <c r="M48">
        <v>172286.50999999899</v>
      </c>
    </row>
    <row r="49" spans="1:13" x14ac:dyDescent="0.3">
      <c r="A49">
        <v>1004</v>
      </c>
      <c r="B49" t="s">
        <v>28</v>
      </c>
      <c r="C49" t="s">
        <v>28</v>
      </c>
      <c r="D49" t="s">
        <v>15</v>
      </c>
      <c r="E49" s="1">
        <v>43728</v>
      </c>
      <c r="F49">
        <v>18</v>
      </c>
      <c r="G49" t="s">
        <v>27</v>
      </c>
      <c r="H49">
        <v>1043015</v>
      </c>
      <c r="I49">
        <v>9939</v>
      </c>
      <c r="J49">
        <v>104.94</v>
      </c>
      <c r="K49">
        <v>555113.92000000004</v>
      </c>
      <c r="L49">
        <v>440952.69</v>
      </c>
      <c r="M49">
        <v>46948.389999999898</v>
      </c>
    </row>
    <row r="50" spans="1:13" x14ac:dyDescent="0.3">
      <c r="A50">
        <v>1005</v>
      </c>
      <c r="B50" t="s">
        <v>28</v>
      </c>
      <c r="C50" t="s">
        <v>28</v>
      </c>
      <c r="D50" t="s">
        <v>15</v>
      </c>
      <c r="E50" s="1">
        <v>44845</v>
      </c>
      <c r="F50">
        <v>18</v>
      </c>
      <c r="G50" t="s">
        <v>16</v>
      </c>
      <c r="H50">
        <v>506397</v>
      </c>
      <c r="I50">
        <v>3993</v>
      </c>
      <c r="J50">
        <v>126.82</v>
      </c>
      <c r="K50">
        <v>268655.89</v>
      </c>
      <c r="L50">
        <v>160963.60999999999</v>
      </c>
      <c r="M50">
        <v>76777.5</v>
      </c>
    </row>
    <row r="51" spans="1:13" x14ac:dyDescent="0.3">
      <c r="A51">
        <v>1005</v>
      </c>
      <c r="B51" t="s">
        <v>28</v>
      </c>
      <c r="C51" t="s">
        <v>28</v>
      </c>
      <c r="D51" t="s">
        <v>15</v>
      </c>
      <c r="E51" s="1">
        <v>44845</v>
      </c>
      <c r="F51">
        <v>18</v>
      </c>
      <c r="G51" t="s">
        <v>17</v>
      </c>
      <c r="H51">
        <v>529153</v>
      </c>
      <c r="I51">
        <v>7073</v>
      </c>
      <c r="J51">
        <v>74.81</v>
      </c>
      <c r="K51">
        <v>258394.94</v>
      </c>
      <c r="L51">
        <v>189043.69</v>
      </c>
      <c r="M51">
        <v>81714.37</v>
      </c>
    </row>
    <row r="52" spans="1:13" x14ac:dyDescent="0.3">
      <c r="A52">
        <v>1005</v>
      </c>
      <c r="B52" t="s">
        <v>28</v>
      </c>
      <c r="C52" t="s">
        <v>28</v>
      </c>
      <c r="D52" t="s">
        <v>15</v>
      </c>
      <c r="E52" s="1">
        <v>44845</v>
      </c>
      <c r="F52">
        <v>18</v>
      </c>
      <c r="G52" t="s">
        <v>18</v>
      </c>
      <c r="H52">
        <v>593983</v>
      </c>
      <c r="I52">
        <v>9912</v>
      </c>
      <c r="J52">
        <v>59.93</v>
      </c>
      <c r="K52">
        <v>289090.09999999998</v>
      </c>
      <c r="L52">
        <v>203454.39</v>
      </c>
      <c r="M52">
        <v>101438.51</v>
      </c>
    </row>
    <row r="53" spans="1:13" x14ac:dyDescent="0.3">
      <c r="A53">
        <v>1005</v>
      </c>
      <c r="B53" t="s">
        <v>28</v>
      </c>
      <c r="C53" t="s">
        <v>28</v>
      </c>
      <c r="D53" t="s">
        <v>15</v>
      </c>
      <c r="E53" s="1">
        <v>44845</v>
      </c>
      <c r="F53">
        <v>18</v>
      </c>
      <c r="G53" t="s">
        <v>19</v>
      </c>
      <c r="H53">
        <v>458093</v>
      </c>
      <c r="I53">
        <v>10260</v>
      </c>
      <c r="J53">
        <v>44.65</v>
      </c>
      <c r="K53">
        <v>280171.71999999997</v>
      </c>
      <c r="L53">
        <v>192945.74</v>
      </c>
      <c r="M53">
        <v>-15024.459999999901</v>
      </c>
    </row>
    <row r="54" spans="1:13" x14ac:dyDescent="0.3">
      <c r="A54">
        <v>1005</v>
      </c>
      <c r="B54" t="s">
        <v>28</v>
      </c>
      <c r="C54" t="s">
        <v>28</v>
      </c>
      <c r="D54" t="s">
        <v>15</v>
      </c>
      <c r="E54" s="1">
        <v>44845</v>
      </c>
      <c r="F54">
        <v>18</v>
      </c>
      <c r="G54" t="s">
        <v>20</v>
      </c>
      <c r="H54">
        <v>505329</v>
      </c>
      <c r="I54">
        <v>3828</v>
      </c>
      <c r="J54">
        <v>132.01</v>
      </c>
      <c r="K54">
        <v>293307.59999999998</v>
      </c>
      <c r="L54">
        <v>180967.2</v>
      </c>
      <c r="M54">
        <v>31054.2</v>
      </c>
    </row>
    <row r="55" spans="1:13" x14ac:dyDescent="0.3">
      <c r="A55">
        <v>1005</v>
      </c>
      <c r="B55" t="s">
        <v>28</v>
      </c>
      <c r="C55" t="s">
        <v>28</v>
      </c>
      <c r="D55" t="s">
        <v>15</v>
      </c>
      <c r="E55" s="1">
        <v>44845</v>
      </c>
      <c r="F55">
        <v>18</v>
      </c>
      <c r="G55" t="s">
        <v>21</v>
      </c>
      <c r="H55">
        <v>330949</v>
      </c>
      <c r="I55">
        <v>4528</v>
      </c>
      <c r="J55">
        <v>73.09</v>
      </c>
      <c r="K55">
        <v>210243.1</v>
      </c>
      <c r="L55">
        <v>138912.25</v>
      </c>
      <c r="M55">
        <v>-18206.349999999999</v>
      </c>
    </row>
    <row r="56" spans="1:13" x14ac:dyDescent="0.3">
      <c r="A56">
        <v>1005</v>
      </c>
      <c r="B56" t="s">
        <v>28</v>
      </c>
      <c r="C56" t="s">
        <v>28</v>
      </c>
      <c r="D56" t="s">
        <v>15</v>
      </c>
      <c r="E56" s="1">
        <v>44845</v>
      </c>
      <c r="F56">
        <v>18</v>
      </c>
      <c r="G56" t="s">
        <v>22</v>
      </c>
      <c r="H56">
        <v>648779</v>
      </c>
      <c r="I56">
        <v>9658</v>
      </c>
      <c r="J56">
        <v>67.180000000000007</v>
      </c>
      <c r="K56">
        <v>354965.3</v>
      </c>
      <c r="L56">
        <v>189929.7</v>
      </c>
      <c r="M56">
        <v>103884</v>
      </c>
    </row>
    <row r="57" spans="1:13" x14ac:dyDescent="0.3">
      <c r="A57">
        <v>1005</v>
      </c>
      <c r="B57" t="s">
        <v>28</v>
      </c>
      <c r="C57" t="s">
        <v>28</v>
      </c>
      <c r="D57" t="s">
        <v>15</v>
      </c>
      <c r="E57" s="1">
        <v>44845</v>
      </c>
      <c r="F57">
        <v>18</v>
      </c>
      <c r="G57" t="s">
        <v>23</v>
      </c>
      <c r="H57">
        <v>1141042</v>
      </c>
      <c r="I57">
        <v>3960</v>
      </c>
      <c r="J57">
        <v>288.14</v>
      </c>
      <c r="K57">
        <v>551040.47</v>
      </c>
      <c r="L57">
        <v>285752.38</v>
      </c>
      <c r="M57">
        <v>304249.15000000002</v>
      </c>
    </row>
    <row r="58" spans="1:13" x14ac:dyDescent="0.3">
      <c r="A58">
        <v>1005</v>
      </c>
      <c r="B58" t="s">
        <v>28</v>
      </c>
      <c r="C58" t="s">
        <v>28</v>
      </c>
      <c r="D58" t="s">
        <v>15</v>
      </c>
      <c r="E58" s="1">
        <v>44845</v>
      </c>
      <c r="F58">
        <v>18</v>
      </c>
      <c r="G58" t="s">
        <v>24</v>
      </c>
      <c r="H58">
        <v>1118773</v>
      </c>
      <c r="I58">
        <v>7345</v>
      </c>
      <c r="J58">
        <v>152.32</v>
      </c>
      <c r="K58">
        <v>710760.53</v>
      </c>
      <c r="L58">
        <v>455369.56</v>
      </c>
      <c r="M58">
        <v>-47357.09</v>
      </c>
    </row>
    <row r="59" spans="1:13" x14ac:dyDescent="0.3">
      <c r="A59">
        <v>1005</v>
      </c>
      <c r="B59" t="s">
        <v>28</v>
      </c>
      <c r="C59" t="s">
        <v>28</v>
      </c>
      <c r="D59" t="s">
        <v>15</v>
      </c>
      <c r="E59" s="1">
        <v>44845</v>
      </c>
      <c r="F59">
        <v>18</v>
      </c>
      <c r="G59" t="s">
        <v>25</v>
      </c>
      <c r="H59">
        <v>898210</v>
      </c>
      <c r="I59">
        <v>9930</v>
      </c>
      <c r="J59">
        <v>90.45</v>
      </c>
      <c r="K59">
        <v>529331.59</v>
      </c>
      <c r="L59">
        <v>355781.94</v>
      </c>
      <c r="M59">
        <v>13096.47</v>
      </c>
    </row>
    <row r="60" spans="1:13" x14ac:dyDescent="0.3">
      <c r="A60">
        <v>1005</v>
      </c>
      <c r="B60" t="s">
        <v>28</v>
      </c>
      <c r="C60" t="s">
        <v>28</v>
      </c>
      <c r="D60" t="s">
        <v>15</v>
      </c>
      <c r="E60" s="1">
        <v>44845</v>
      </c>
      <c r="F60">
        <v>18</v>
      </c>
      <c r="G60" t="s">
        <v>26</v>
      </c>
      <c r="H60">
        <v>1465530</v>
      </c>
      <c r="I60">
        <v>13844</v>
      </c>
      <c r="J60">
        <v>105.86</v>
      </c>
      <c r="K60">
        <v>870058.28</v>
      </c>
      <c r="L60">
        <v>411754.38</v>
      </c>
      <c r="M60">
        <v>183717.33999999901</v>
      </c>
    </row>
    <row r="61" spans="1:13" x14ac:dyDescent="0.3">
      <c r="A61">
        <v>1005</v>
      </c>
      <c r="B61" t="s">
        <v>28</v>
      </c>
      <c r="C61" t="s">
        <v>28</v>
      </c>
      <c r="D61" t="s">
        <v>15</v>
      </c>
      <c r="E61" s="1">
        <v>44845</v>
      </c>
      <c r="F61">
        <v>18</v>
      </c>
      <c r="G61" t="s">
        <v>27</v>
      </c>
      <c r="H61">
        <v>922241</v>
      </c>
      <c r="I61">
        <v>6566</v>
      </c>
      <c r="J61">
        <v>140.46</v>
      </c>
      <c r="K61">
        <v>593685.15</v>
      </c>
      <c r="L61">
        <v>337389.01</v>
      </c>
      <c r="M61">
        <v>-8833.1600000000308</v>
      </c>
    </row>
    <row r="62" spans="1:13" x14ac:dyDescent="0.3">
      <c r="A62">
        <v>1006</v>
      </c>
      <c r="B62" t="s">
        <v>28</v>
      </c>
      <c r="C62" t="s">
        <v>28</v>
      </c>
      <c r="D62" t="s">
        <v>15</v>
      </c>
      <c r="E62" s="1">
        <v>44997</v>
      </c>
      <c r="F62">
        <v>13</v>
      </c>
      <c r="G62" t="s">
        <v>16</v>
      </c>
      <c r="H62">
        <v>419884</v>
      </c>
      <c r="I62">
        <v>3821</v>
      </c>
      <c r="J62">
        <v>109.89</v>
      </c>
      <c r="K62">
        <v>238005.17</v>
      </c>
      <c r="L62">
        <v>147198.76999999999</v>
      </c>
      <c r="M62">
        <v>34680.06</v>
      </c>
    </row>
    <row r="63" spans="1:13" x14ac:dyDescent="0.3">
      <c r="A63">
        <v>1006</v>
      </c>
      <c r="B63" t="s">
        <v>28</v>
      </c>
      <c r="C63" t="s">
        <v>28</v>
      </c>
      <c r="D63" t="s">
        <v>15</v>
      </c>
      <c r="E63" s="1">
        <v>44997</v>
      </c>
      <c r="F63">
        <v>13</v>
      </c>
      <c r="G63" t="s">
        <v>17</v>
      </c>
      <c r="H63">
        <v>1413852</v>
      </c>
      <c r="I63">
        <v>5579</v>
      </c>
      <c r="J63">
        <v>253.42</v>
      </c>
      <c r="K63">
        <v>652317.26</v>
      </c>
      <c r="L63">
        <v>497061.87</v>
      </c>
      <c r="M63">
        <v>264472.87</v>
      </c>
    </row>
    <row r="64" spans="1:13" x14ac:dyDescent="0.3">
      <c r="A64">
        <v>1006</v>
      </c>
      <c r="B64" t="s">
        <v>28</v>
      </c>
      <c r="C64" t="s">
        <v>28</v>
      </c>
      <c r="D64" t="s">
        <v>15</v>
      </c>
      <c r="E64" s="1">
        <v>44997</v>
      </c>
      <c r="F64">
        <v>13</v>
      </c>
      <c r="G64" t="s">
        <v>18</v>
      </c>
      <c r="H64">
        <v>689703</v>
      </c>
      <c r="I64">
        <v>4122</v>
      </c>
      <c r="J64">
        <v>167.32</v>
      </c>
      <c r="K64">
        <v>392445.85</v>
      </c>
      <c r="L64">
        <v>265564.96999999997</v>
      </c>
      <c r="M64">
        <v>31692.18</v>
      </c>
    </row>
    <row r="65" spans="1:13" x14ac:dyDescent="0.3">
      <c r="A65">
        <v>1006</v>
      </c>
      <c r="B65" t="s">
        <v>28</v>
      </c>
      <c r="C65" t="s">
        <v>28</v>
      </c>
      <c r="D65" t="s">
        <v>15</v>
      </c>
      <c r="E65" s="1">
        <v>44997</v>
      </c>
      <c r="F65">
        <v>13</v>
      </c>
      <c r="G65" t="s">
        <v>19</v>
      </c>
      <c r="H65">
        <v>793258</v>
      </c>
      <c r="I65">
        <v>9615</v>
      </c>
      <c r="J65">
        <v>82.5</v>
      </c>
      <c r="K65">
        <v>375986.3</v>
      </c>
      <c r="L65">
        <v>339560.01</v>
      </c>
      <c r="M65">
        <v>77711.69</v>
      </c>
    </row>
    <row r="66" spans="1:13" x14ac:dyDescent="0.3">
      <c r="A66">
        <v>1006</v>
      </c>
      <c r="B66" t="s">
        <v>28</v>
      </c>
      <c r="C66" t="s">
        <v>28</v>
      </c>
      <c r="D66" t="s">
        <v>15</v>
      </c>
      <c r="E66" s="1">
        <v>44997</v>
      </c>
      <c r="F66">
        <v>13</v>
      </c>
      <c r="G66" t="s">
        <v>20</v>
      </c>
      <c r="H66">
        <v>816351</v>
      </c>
      <c r="I66">
        <v>12485</v>
      </c>
      <c r="J66">
        <v>65.39</v>
      </c>
      <c r="K66">
        <v>464425.21</v>
      </c>
      <c r="L66">
        <v>305214.28999999998</v>
      </c>
      <c r="M66">
        <v>46711.5</v>
      </c>
    </row>
    <row r="67" spans="1:13" x14ac:dyDescent="0.3">
      <c r="A67">
        <v>1006</v>
      </c>
      <c r="B67" t="s">
        <v>28</v>
      </c>
      <c r="C67" t="s">
        <v>28</v>
      </c>
      <c r="D67" t="s">
        <v>15</v>
      </c>
      <c r="E67" s="1">
        <v>44997</v>
      </c>
      <c r="F67">
        <v>13</v>
      </c>
      <c r="G67" t="s">
        <v>21</v>
      </c>
      <c r="H67">
        <v>1179178</v>
      </c>
      <c r="I67">
        <v>13770</v>
      </c>
      <c r="J67">
        <v>85.63</v>
      </c>
      <c r="K67">
        <v>668280.80000000005</v>
      </c>
      <c r="L67">
        <v>418085.28</v>
      </c>
      <c r="M67">
        <v>92811.919999999896</v>
      </c>
    </row>
    <row r="68" spans="1:13" x14ac:dyDescent="0.3">
      <c r="A68">
        <v>1006</v>
      </c>
      <c r="B68" t="s">
        <v>28</v>
      </c>
      <c r="C68" t="s">
        <v>28</v>
      </c>
      <c r="D68" t="s">
        <v>15</v>
      </c>
      <c r="E68" s="1">
        <v>44997</v>
      </c>
      <c r="F68">
        <v>13</v>
      </c>
      <c r="G68" t="s">
        <v>22</v>
      </c>
      <c r="H68">
        <v>846865</v>
      </c>
      <c r="I68">
        <v>6346</v>
      </c>
      <c r="J68">
        <v>133.44999999999999</v>
      </c>
      <c r="K68">
        <v>494522.75</v>
      </c>
      <c r="L68">
        <v>264930.51</v>
      </c>
      <c r="M68">
        <v>87411.739999999903</v>
      </c>
    </row>
    <row r="69" spans="1:13" x14ac:dyDescent="0.3">
      <c r="A69">
        <v>1006</v>
      </c>
      <c r="B69" t="s">
        <v>28</v>
      </c>
      <c r="C69" t="s">
        <v>28</v>
      </c>
      <c r="D69" t="s">
        <v>15</v>
      </c>
      <c r="E69" s="1">
        <v>44997</v>
      </c>
      <c r="F69">
        <v>13</v>
      </c>
      <c r="G69" t="s">
        <v>23</v>
      </c>
      <c r="H69">
        <v>857034</v>
      </c>
      <c r="I69">
        <v>9484</v>
      </c>
      <c r="J69">
        <v>90.37</v>
      </c>
      <c r="K69">
        <v>408098.73</v>
      </c>
      <c r="L69">
        <v>324901.71999999997</v>
      </c>
      <c r="M69">
        <v>124033.55</v>
      </c>
    </row>
    <row r="70" spans="1:13" x14ac:dyDescent="0.3">
      <c r="A70">
        <v>1006</v>
      </c>
      <c r="B70" t="s">
        <v>28</v>
      </c>
      <c r="C70" t="s">
        <v>28</v>
      </c>
      <c r="D70" t="s">
        <v>15</v>
      </c>
      <c r="E70" s="1">
        <v>44997</v>
      </c>
      <c r="F70">
        <v>13</v>
      </c>
      <c r="G70" t="s">
        <v>24</v>
      </c>
      <c r="H70">
        <v>1258869</v>
      </c>
      <c r="I70">
        <v>8180</v>
      </c>
      <c r="J70">
        <v>153.9</v>
      </c>
      <c r="K70">
        <v>800393.53</v>
      </c>
      <c r="L70">
        <v>550310.63</v>
      </c>
      <c r="M70">
        <v>-91835.16</v>
      </c>
    </row>
    <row r="71" spans="1:13" x14ac:dyDescent="0.3">
      <c r="A71">
        <v>1006</v>
      </c>
      <c r="B71" t="s">
        <v>28</v>
      </c>
      <c r="C71" t="s">
        <v>28</v>
      </c>
      <c r="D71" t="s">
        <v>15</v>
      </c>
      <c r="E71" s="1">
        <v>44997</v>
      </c>
      <c r="F71">
        <v>13</v>
      </c>
      <c r="G71" t="s">
        <v>25</v>
      </c>
      <c r="H71">
        <v>319535</v>
      </c>
      <c r="I71">
        <v>10508</v>
      </c>
      <c r="J71">
        <v>30.41</v>
      </c>
      <c r="K71">
        <v>183487.17</v>
      </c>
      <c r="L71">
        <v>115862.98</v>
      </c>
      <c r="M71">
        <v>20184.8499999999</v>
      </c>
    </row>
    <row r="72" spans="1:13" x14ac:dyDescent="0.3">
      <c r="A72">
        <v>1006</v>
      </c>
      <c r="B72" t="s">
        <v>28</v>
      </c>
      <c r="C72" t="s">
        <v>28</v>
      </c>
      <c r="D72" t="s">
        <v>15</v>
      </c>
      <c r="E72" s="1">
        <v>44997</v>
      </c>
      <c r="F72">
        <v>13</v>
      </c>
      <c r="G72" t="s">
        <v>26</v>
      </c>
      <c r="H72">
        <v>509675</v>
      </c>
      <c r="I72">
        <v>4200</v>
      </c>
      <c r="J72">
        <v>121.35</v>
      </c>
      <c r="K72">
        <v>284157.51</v>
      </c>
      <c r="L72">
        <v>178986.11</v>
      </c>
      <c r="M72">
        <v>46531.38</v>
      </c>
    </row>
    <row r="73" spans="1:13" x14ac:dyDescent="0.3">
      <c r="A73">
        <v>1006</v>
      </c>
      <c r="B73" t="s">
        <v>28</v>
      </c>
      <c r="C73" t="s">
        <v>28</v>
      </c>
      <c r="D73" t="s">
        <v>15</v>
      </c>
      <c r="E73" s="1">
        <v>44997</v>
      </c>
      <c r="F73">
        <v>13</v>
      </c>
      <c r="G73" t="s">
        <v>27</v>
      </c>
      <c r="H73">
        <v>577781</v>
      </c>
      <c r="I73">
        <v>8718</v>
      </c>
      <c r="J73">
        <v>66.27</v>
      </c>
      <c r="K73">
        <v>361790.77</v>
      </c>
      <c r="L73">
        <v>246050.38</v>
      </c>
      <c r="M73">
        <v>-30060.15</v>
      </c>
    </row>
    <row r="74" spans="1:13" x14ac:dyDescent="0.3">
      <c r="A74">
        <v>1007</v>
      </c>
      <c r="B74" t="s">
        <v>29</v>
      </c>
      <c r="C74" t="s">
        <v>30</v>
      </c>
      <c r="D74" t="s">
        <v>31</v>
      </c>
      <c r="E74" s="1">
        <v>44049</v>
      </c>
      <c r="F74">
        <v>10</v>
      </c>
      <c r="G74" t="s">
        <v>16</v>
      </c>
      <c r="H74">
        <v>1218939</v>
      </c>
      <c r="I74">
        <v>11900</v>
      </c>
      <c r="J74">
        <v>102.43</v>
      </c>
      <c r="K74">
        <v>720037</v>
      </c>
      <c r="L74">
        <v>453854.33</v>
      </c>
      <c r="M74">
        <v>45047.669999999896</v>
      </c>
    </row>
    <row r="75" spans="1:13" x14ac:dyDescent="0.3">
      <c r="A75">
        <v>1007</v>
      </c>
      <c r="B75" t="s">
        <v>29</v>
      </c>
      <c r="C75" t="s">
        <v>30</v>
      </c>
      <c r="D75" t="s">
        <v>31</v>
      </c>
      <c r="E75" s="1">
        <v>44049</v>
      </c>
      <c r="F75">
        <v>10</v>
      </c>
      <c r="G75" t="s">
        <v>17</v>
      </c>
      <c r="H75">
        <v>1409269</v>
      </c>
      <c r="I75">
        <v>3128</v>
      </c>
      <c r="J75">
        <v>450.53</v>
      </c>
      <c r="K75">
        <v>822410.83</v>
      </c>
      <c r="L75">
        <v>508634.01</v>
      </c>
      <c r="M75">
        <v>78224.160000000003</v>
      </c>
    </row>
    <row r="76" spans="1:13" x14ac:dyDescent="0.3">
      <c r="A76">
        <v>1007</v>
      </c>
      <c r="B76" t="s">
        <v>29</v>
      </c>
      <c r="C76" t="s">
        <v>30</v>
      </c>
      <c r="D76" t="s">
        <v>31</v>
      </c>
      <c r="E76" s="1">
        <v>44049</v>
      </c>
      <c r="F76">
        <v>10</v>
      </c>
      <c r="G76" t="s">
        <v>18</v>
      </c>
      <c r="H76">
        <v>517236</v>
      </c>
      <c r="I76">
        <v>5200</v>
      </c>
      <c r="J76">
        <v>99.47</v>
      </c>
      <c r="K76">
        <v>260114.46</v>
      </c>
      <c r="L76">
        <v>221347.29</v>
      </c>
      <c r="M76">
        <v>35774.25</v>
      </c>
    </row>
    <row r="77" spans="1:13" x14ac:dyDescent="0.3">
      <c r="A77">
        <v>1007</v>
      </c>
      <c r="B77" t="s">
        <v>29</v>
      </c>
      <c r="C77" t="s">
        <v>30</v>
      </c>
      <c r="D77" t="s">
        <v>31</v>
      </c>
      <c r="E77" s="1">
        <v>44049</v>
      </c>
      <c r="F77">
        <v>10</v>
      </c>
      <c r="G77" t="s">
        <v>19</v>
      </c>
      <c r="H77">
        <v>1460194</v>
      </c>
      <c r="I77">
        <v>5546</v>
      </c>
      <c r="J77">
        <v>263.29000000000002</v>
      </c>
      <c r="K77">
        <v>736623.55</v>
      </c>
      <c r="L77">
        <v>541682.28</v>
      </c>
      <c r="M77">
        <v>181888.16999999899</v>
      </c>
    </row>
    <row r="78" spans="1:13" x14ac:dyDescent="0.3">
      <c r="A78">
        <v>1007</v>
      </c>
      <c r="B78" t="s">
        <v>29</v>
      </c>
      <c r="C78" t="s">
        <v>30</v>
      </c>
      <c r="D78" t="s">
        <v>31</v>
      </c>
      <c r="E78" s="1">
        <v>44049</v>
      </c>
      <c r="F78">
        <v>10</v>
      </c>
      <c r="G78" t="s">
        <v>20</v>
      </c>
      <c r="H78">
        <v>1019072</v>
      </c>
      <c r="I78">
        <v>6335</v>
      </c>
      <c r="J78">
        <v>160.86000000000001</v>
      </c>
      <c r="K78">
        <v>598704.21</v>
      </c>
      <c r="L78">
        <v>428603.91</v>
      </c>
      <c r="M78">
        <v>-8236.1199999999299</v>
      </c>
    </row>
    <row r="79" spans="1:13" x14ac:dyDescent="0.3">
      <c r="A79">
        <v>1007</v>
      </c>
      <c r="B79" t="s">
        <v>29</v>
      </c>
      <c r="C79" t="s">
        <v>30</v>
      </c>
      <c r="D79" t="s">
        <v>31</v>
      </c>
      <c r="E79" s="1">
        <v>44049</v>
      </c>
      <c r="F79">
        <v>10</v>
      </c>
      <c r="G79" t="s">
        <v>21</v>
      </c>
      <c r="H79">
        <v>1359919</v>
      </c>
      <c r="I79">
        <v>11004</v>
      </c>
      <c r="J79">
        <v>123.58</v>
      </c>
      <c r="K79">
        <v>680264.46</v>
      </c>
      <c r="L79">
        <v>586984.30000000005</v>
      </c>
      <c r="M79">
        <v>92670.239999999903</v>
      </c>
    </row>
    <row r="80" spans="1:13" x14ac:dyDescent="0.3">
      <c r="A80">
        <v>1007</v>
      </c>
      <c r="B80" t="s">
        <v>29</v>
      </c>
      <c r="C80" t="s">
        <v>30</v>
      </c>
      <c r="D80" t="s">
        <v>31</v>
      </c>
      <c r="E80" s="1">
        <v>44049</v>
      </c>
      <c r="F80">
        <v>10</v>
      </c>
      <c r="G80" t="s">
        <v>22</v>
      </c>
      <c r="H80">
        <v>406533</v>
      </c>
      <c r="I80">
        <v>4512</v>
      </c>
      <c r="J80">
        <v>90.1</v>
      </c>
      <c r="K80">
        <v>234511.35999999999</v>
      </c>
      <c r="L80">
        <v>169064.72</v>
      </c>
      <c r="M80">
        <v>2956.9200000000101</v>
      </c>
    </row>
    <row r="81" spans="1:13" x14ac:dyDescent="0.3">
      <c r="A81">
        <v>1007</v>
      </c>
      <c r="B81" t="s">
        <v>29</v>
      </c>
      <c r="C81" t="s">
        <v>30</v>
      </c>
      <c r="D81" t="s">
        <v>31</v>
      </c>
      <c r="E81" s="1">
        <v>44049</v>
      </c>
      <c r="F81">
        <v>10</v>
      </c>
      <c r="G81" t="s">
        <v>23</v>
      </c>
      <c r="H81">
        <v>392456</v>
      </c>
      <c r="I81">
        <v>3058</v>
      </c>
      <c r="J81">
        <v>128.34</v>
      </c>
      <c r="K81">
        <v>202786.45</v>
      </c>
      <c r="L81">
        <v>108382.19</v>
      </c>
      <c r="M81">
        <v>81287.359999999899</v>
      </c>
    </row>
    <row r="82" spans="1:13" x14ac:dyDescent="0.3">
      <c r="A82">
        <v>1007</v>
      </c>
      <c r="B82" t="s">
        <v>29</v>
      </c>
      <c r="C82" t="s">
        <v>30</v>
      </c>
      <c r="D82" t="s">
        <v>31</v>
      </c>
      <c r="E82" s="1">
        <v>44049</v>
      </c>
      <c r="F82">
        <v>10</v>
      </c>
      <c r="G82" t="s">
        <v>24</v>
      </c>
      <c r="H82">
        <v>849360</v>
      </c>
      <c r="I82">
        <v>5647</v>
      </c>
      <c r="J82">
        <v>150.41</v>
      </c>
      <c r="K82">
        <v>508126.38</v>
      </c>
      <c r="L82">
        <v>306055.06</v>
      </c>
      <c r="M82">
        <v>35178.559999999998</v>
      </c>
    </row>
    <row r="83" spans="1:13" x14ac:dyDescent="0.3">
      <c r="A83">
        <v>1007</v>
      </c>
      <c r="B83" t="s">
        <v>29</v>
      </c>
      <c r="C83" t="s">
        <v>30</v>
      </c>
      <c r="D83" t="s">
        <v>31</v>
      </c>
      <c r="E83" s="1">
        <v>44049</v>
      </c>
      <c r="F83">
        <v>10</v>
      </c>
      <c r="G83" t="s">
        <v>25</v>
      </c>
      <c r="H83">
        <v>1196924</v>
      </c>
      <c r="I83">
        <v>12189</v>
      </c>
      <c r="J83">
        <v>98.2</v>
      </c>
      <c r="K83">
        <v>540930.57999999996</v>
      </c>
      <c r="L83">
        <v>317243.24</v>
      </c>
      <c r="M83">
        <v>338750.18</v>
      </c>
    </row>
    <row r="84" spans="1:13" x14ac:dyDescent="0.3">
      <c r="A84">
        <v>1007</v>
      </c>
      <c r="B84" t="s">
        <v>29</v>
      </c>
      <c r="C84" t="s">
        <v>30</v>
      </c>
      <c r="D84" t="s">
        <v>31</v>
      </c>
      <c r="E84" s="1">
        <v>44049</v>
      </c>
      <c r="F84">
        <v>10</v>
      </c>
      <c r="G84" t="s">
        <v>26</v>
      </c>
      <c r="H84">
        <v>612589</v>
      </c>
      <c r="I84">
        <v>11938</v>
      </c>
      <c r="J84">
        <v>51.31</v>
      </c>
      <c r="K84">
        <v>280079.14</v>
      </c>
      <c r="L84">
        <v>198382.78</v>
      </c>
      <c r="M84">
        <v>134127.07999999999</v>
      </c>
    </row>
    <row r="85" spans="1:13" x14ac:dyDescent="0.3">
      <c r="A85">
        <v>1007</v>
      </c>
      <c r="B85" t="s">
        <v>29</v>
      </c>
      <c r="C85" t="s">
        <v>30</v>
      </c>
      <c r="D85" t="s">
        <v>31</v>
      </c>
      <c r="E85" s="1">
        <v>44049</v>
      </c>
      <c r="F85">
        <v>10</v>
      </c>
      <c r="G85" t="s">
        <v>27</v>
      </c>
      <c r="H85">
        <v>1458729</v>
      </c>
      <c r="I85">
        <v>5426</v>
      </c>
      <c r="J85">
        <v>268.83999999999997</v>
      </c>
      <c r="K85">
        <v>781816.52</v>
      </c>
      <c r="L85">
        <v>376885.64</v>
      </c>
      <c r="M85">
        <v>300026.83999999898</v>
      </c>
    </row>
    <row r="86" spans="1:13" x14ac:dyDescent="0.3">
      <c r="A86">
        <v>1008</v>
      </c>
      <c r="B86" t="s">
        <v>29</v>
      </c>
      <c r="C86" t="s">
        <v>30</v>
      </c>
      <c r="D86" t="s">
        <v>31</v>
      </c>
      <c r="E86" s="1">
        <v>45096</v>
      </c>
      <c r="F86">
        <v>8</v>
      </c>
      <c r="G86" t="s">
        <v>16</v>
      </c>
      <c r="H86">
        <v>1050380</v>
      </c>
      <c r="I86">
        <v>6441</v>
      </c>
      <c r="J86">
        <v>163.08000000000001</v>
      </c>
      <c r="K86">
        <v>615956.84</v>
      </c>
      <c r="L86">
        <v>402701.7</v>
      </c>
      <c r="M86">
        <v>31721.46</v>
      </c>
    </row>
    <row r="87" spans="1:13" x14ac:dyDescent="0.3">
      <c r="A87">
        <v>1008</v>
      </c>
      <c r="B87" t="s">
        <v>29</v>
      </c>
      <c r="C87" t="s">
        <v>30</v>
      </c>
      <c r="D87" t="s">
        <v>31</v>
      </c>
      <c r="E87" s="1">
        <v>45096</v>
      </c>
      <c r="F87">
        <v>8</v>
      </c>
      <c r="G87" t="s">
        <v>17</v>
      </c>
      <c r="H87">
        <v>1041717</v>
      </c>
      <c r="I87">
        <v>12173</v>
      </c>
      <c r="J87">
        <v>85.58</v>
      </c>
      <c r="K87">
        <v>652976.28</v>
      </c>
      <c r="L87">
        <v>345095.3</v>
      </c>
      <c r="M87">
        <v>43645.419999999896</v>
      </c>
    </row>
    <row r="88" spans="1:13" x14ac:dyDescent="0.3">
      <c r="A88">
        <v>1008</v>
      </c>
      <c r="B88" t="s">
        <v>29</v>
      </c>
      <c r="C88" t="s">
        <v>30</v>
      </c>
      <c r="D88" t="s">
        <v>31</v>
      </c>
      <c r="E88" s="1">
        <v>45096</v>
      </c>
      <c r="F88">
        <v>8</v>
      </c>
      <c r="G88" t="s">
        <v>18</v>
      </c>
      <c r="H88">
        <v>624121</v>
      </c>
      <c r="I88">
        <v>6878</v>
      </c>
      <c r="J88">
        <v>90.74</v>
      </c>
      <c r="K88">
        <v>388778.16</v>
      </c>
      <c r="L88">
        <v>277884.39</v>
      </c>
      <c r="M88">
        <v>-42541.549999999901</v>
      </c>
    </row>
    <row r="89" spans="1:13" x14ac:dyDescent="0.3">
      <c r="A89">
        <v>1008</v>
      </c>
      <c r="B89" t="s">
        <v>29</v>
      </c>
      <c r="C89" t="s">
        <v>30</v>
      </c>
      <c r="D89" t="s">
        <v>31</v>
      </c>
      <c r="E89" s="1">
        <v>45096</v>
      </c>
      <c r="F89">
        <v>8</v>
      </c>
      <c r="G89" t="s">
        <v>19</v>
      </c>
      <c r="H89">
        <v>671305</v>
      </c>
      <c r="I89">
        <v>9755</v>
      </c>
      <c r="J89">
        <v>68.819999999999993</v>
      </c>
      <c r="K89">
        <v>305415.09000000003</v>
      </c>
      <c r="L89">
        <v>266718.13</v>
      </c>
      <c r="M89">
        <v>99171.779999999897</v>
      </c>
    </row>
    <row r="90" spans="1:13" x14ac:dyDescent="0.3">
      <c r="A90">
        <v>1008</v>
      </c>
      <c r="B90" t="s">
        <v>29</v>
      </c>
      <c r="C90" t="s">
        <v>30</v>
      </c>
      <c r="D90" t="s">
        <v>31</v>
      </c>
      <c r="E90" s="1">
        <v>45096</v>
      </c>
      <c r="F90">
        <v>8</v>
      </c>
      <c r="G90" t="s">
        <v>20</v>
      </c>
      <c r="H90">
        <v>996643</v>
      </c>
      <c r="I90">
        <v>9745</v>
      </c>
      <c r="J90">
        <v>102.27</v>
      </c>
      <c r="K90">
        <v>608397.76</v>
      </c>
      <c r="L90">
        <v>421393.42</v>
      </c>
      <c r="M90">
        <v>-33148.179999999898</v>
      </c>
    </row>
    <row r="91" spans="1:13" x14ac:dyDescent="0.3">
      <c r="A91">
        <v>1008</v>
      </c>
      <c r="B91" t="s">
        <v>29</v>
      </c>
      <c r="C91" t="s">
        <v>30</v>
      </c>
      <c r="D91" t="s">
        <v>31</v>
      </c>
      <c r="E91" s="1">
        <v>45096</v>
      </c>
      <c r="F91">
        <v>8</v>
      </c>
      <c r="G91" t="s">
        <v>21</v>
      </c>
      <c r="H91">
        <v>820444</v>
      </c>
      <c r="I91">
        <v>7371</v>
      </c>
      <c r="J91">
        <v>111.31</v>
      </c>
      <c r="K91">
        <v>395322.38</v>
      </c>
      <c r="L91">
        <v>320182.90000000002</v>
      </c>
      <c r="M91">
        <v>104938.719999999</v>
      </c>
    </row>
    <row r="92" spans="1:13" x14ac:dyDescent="0.3">
      <c r="A92">
        <v>1008</v>
      </c>
      <c r="B92" t="s">
        <v>29</v>
      </c>
      <c r="C92" t="s">
        <v>30</v>
      </c>
      <c r="D92" t="s">
        <v>31</v>
      </c>
      <c r="E92" s="1">
        <v>45096</v>
      </c>
      <c r="F92">
        <v>8</v>
      </c>
      <c r="G92" t="s">
        <v>22</v>
      </c>
      <c r="H92">
        <v>1102248</v>
      </c>
      <c r="I92">
        <v>3634</v>
      </c>
      <c r="J92">
        <v>303.32</v>
      </c>
      <c r="K92">
        <v>685288.14</v>
      </c>
      <c r="L92">
        <v>324597.42</v>
      </c>
      <c r="M92">
        <v>92362.44</v>
      </c>
    </row>
    <row r="93" spans="1:13" x14ac:dyDescent="0.3">
      <c r="A93">
        <v>1008</v>
      </c>
      <c r="B93" t="s">
        <v>29</v>
      </c>
      <c r="C93" t="s">
        <v>30</v>
      </c>
      <c r="D93" t="s">
        <v>31</v>
      </c>
      <c r="E93" s="1">
        <v>45096</v>
      </c>
      <c r="F93">
        <v>8</v>
      </c>
      <c r="G93" t="s">
        <v>23</v>
      </c>
      <c r="H93">
        <v>1265325</v>
      </c>
      <c r="I93">
        <v>8728</v>
      </c>
      <c r="J93">
        <v>144.97</v>
      </c>
      <c r="K93">
        <v>646629.38</v>
      </c>
      <c r="L93">
        <v>517605.36</v>
      </c>
      <c r="M93">
        <v>101090.26</v>
      </c>
    </row>
    <row r="94" spans="1:13" x14ac:dyDescent="0.3">
      <c r="A94">
        <v>1008</v>
      </c>
      <c r="B94" t="s">
        <v>29</v>
      </c>
      <c r="C94" t="s">
        <v>30</v>
      </c>
      <c r="D94" t="s">
        <v>31</v>
      </c>
      <c r="E94" s="1">
        <v>45096</v>
      </c>
      <c r="F94">
        <v>8</v>
      </c>
      <c r="G94" t="s">
        <v>24</v>
      </c>
      <c r="H94">
        <v>777302</v>
      </c>
      <c r="I94">
        <v>6652</v>
      </c>
      <c r="J94">
        <v>116.85</v>
      </c>
      <c r="K94">
        <v>353464.78</v>
      </c>
      <c r="L94">
        <v>224349.53</v>
      </c>
      <c r="M94">
        <v>199487.68999999901</v>
      </c>
    </row>
    <row r="95" spans="1:13" x14ac:dyDescent="0.3">
      <c r="A95">
        <v>1008</v>
      </c>
      <c r="B95" t="s">
        <v>29</v>
      </c>
      <c r="C95" t="s">
        <v>30</v>
      </c>
      <c r="D95" t="s">
        <v>31</v>
      </c>
      <c r="E95" s="1">
        <v>45096</v>
      </c>
      <c r="F95">
        <v>8</v>
      </c>
      <c r="G95" t="s">
        <v>25</v>
      </c>
      <c r="H95">
        <v>988415</v>
      </c>
      <c r="I95">
        <v>7564</v>
      </c>
      <c r="J95">
        <v>130.66999999999999</v>
      </c>
      <c r="K95">
        <v>615654.63</v>
      </c>
      <c r="L95">
        <v>438241.29</v>
      </c>
      <c r="M95">
        <v>-65480.919999999896</v>
      </c>
    </row>
    <row r="96" spans="1:13" x14ac:dyDescent="0.3">
      <c r="A96">
        <v>1008</v>
      </c>
      <c r="B96" t="s">
        <v>29</v>
      </c>
      <c r="C96" t="s">
        <v>30</v>
      </c>
      <c r="D96" t="s">
        <v>31</v>
      </c>
      <c r="E96" s="1">
        <v>45096</v>
      </c>
      <c r="F96">
        <v>8</v>
      </c>
      <c r="G96" t="s">
        <v>26</v>
      </c>
      <c r="H96">
        <v>885367</v>
      </c>
      <c r="I96">
        <v>8753</v>
      </c>
      <c r="J96">
        <v>101.15</v>
      </c>
      <c r="K96">
        <v>512004.5</v>
      </c>
      <c r="L96">
        <v>292114.15999999997</v>
      </c>
      <c r="M96">
        <v>81248.34</v>
      </c>
    </row>
    <row r="97" spans="1:13" x14ac:dyDescent="0.3">
      <c r="A97">
        <v>1008</v>
      </c>
      <c r="B97" t="s">
        <v>29</v>
      </c>
      <c r="C97" t="s">
        <v>30</v>
      </c>
      <c r="D97" t="s">
        <v>31</v>
      </c>
      <c r="E97" s="1">
        <v>45096</v>
      </c>
      <c r="F97">
        <v>8</v>
      </c>
      <c r="G97" t="s">
        <v>27</v>
      </c>
      <c r="H97">
        <v>1424525</v>
      </c>
      <c r="I97">
        <v>8425</v>
      </c>
      <c r="J97">
        <v>169.08</v>
      </c>
      <c r="K97">
        <v>908629.61</v>
      </c>
      <c r="L97">
        <v>388992.69</v>
      </c>
      <c r="M97">
        <v>126902.7</v>
      </c>
    </row>
    <row r="98" spans="1:13" x14ac:dyDescent="0.3">
      <c r="A98">
        <v>1009</v>
      </c>
      <c r="B98" t="s">
        <v>29</v>
      </c>
      <c r="C98" t="s">
        <v>30</v>
      </c>
      <c r="D98" t="s">
        <v>31</v>
      </c>
      <c r="E98" s="1">
        <v>43831</v>
      </c>
      <c r="F98">
        <v>17</v>
      </c>
      <c r="G98" t="s">
        <v>16</v>
      </c>
      <c r="H98">
        <v>856723</v>
      </c>
      <c r="I98">
        <v>3626</v>
      </c>
      <c r="J98">
        <v>236.27</v>
      </c>
      <c r="K98">
        <v>404099.54</v>
      </c>
      <c r="L98">
        <v>288640.90000000002</v>
      </c>
      <c r="M98">
        <v>163982.56</v>
      </c>
    </row>
    <row r="99" spans="1:13" x14ac:dyDescent="0.3">
      <c r="A99">
        <v>1009</v>
      </c>
      <c r="B99" t="s">
        <v>29</v>
      </c>
      <c r="C99" t="s">
        <v>30</v>
      </c>
      <c r="D99" t="s">
        <v>31</v>
      </c>
      <c r="E99" s="1">
        <v>43831</v>
      </c>
      <c r="F99">
        <v>17</v>
      </c>
      <c r="G99" t="s">
        <v>17</v>
      </c>
      <c r="H99">
        <v>957829</v>
      </c>
      <c r="I99">
        <v>10149</v>
      </c>
      <c r="J99">
        <v>94.38</v>
      </c>
      <c r="K99">
        <v>547151.93000000005</v>
      </c>
      <c r="L99">
        <v>337428.42</v>
      </c>
      <c r="M99">
        <v>73248.649999999907</v>
      </c>
    </row>
    <row r="100" spans="1:13" x14ac:dyDescent="0.3">
      <c r="A100">
        <v>1009</v>
      </c>
      <c r="B100" t="s">
        <v>29</v>
      </c>
      <c r="C100" t="s">
        <v>30</v>
      </c>
      <c r="D100" t="s">
        <v>31</v>
      </c>
      <c r="E100" s="1">
        <v>43831</v>
      </c>
      <c r="F100">
        <v>17</v>
      </c>
      <c r="G100" t="s">
        <v>18</v>
      </c>
      <c r="H100">
        <v>1107813</v>
      </c>
      <c r="I100">
        <v>12446</v>
      </c>
      <c r="J100">
        <v>89.01</v>
      </c>
      <c r="K100">
        <v>540630.19999999995</v>
      </c>
      <c r="L100">
        <v>286787.65000000002</v>
      </c>
      <c r="M100">
        <v>280395.15000000002</v>
      </c>
    </row>
    <row r="101" spans="1:13" x14ac:dyDescent="0.3">
      <c r="A101">
        <v>1009</v>
      </c>
      <c r="B101" t="s">
        <v>29</v>
      </c>
      <c r="C101" t="s">
        <v>30</v>
      </c>
      <c r="D101" t="s">
        <v>31</v>
      </c>
      <c r="E101" s="1">
        <v>43831</v>
      </c>
      <c r="F101">
        <v>17</v>
      </c>
      <c r="G101" t="s">
        <v>19</v>
      </c>
      <c r="H101">
        <v>1214478</v>
      </c>
      <c r="I101">
        <v>3027</v>
      </c>
      <c r="J101">
        <v>401.22</v>
      </c>
      <c r="K101">
        <v>672801.47</v>
      </c>
      <c r="L101">
        <v>499517.44</v>
      </c>
      <c r="M101">
        <v>42159.09</v>
      </c>
    </row>
    <row r="102" spans="1:13" x14ac:dyDescent="0.3">
      <c r="A102">
        <v>1009</v>
      </c>
      <c r="B102" t="s">
        <v>29</v>
      </c>
      <c r="C102" t="s">
        <v>30</v>
      </c>
      <c r="D102" t="s">
        <v>31</v>
      </c>
      <c r="E102" s="1">
        <v>43831</v>
      </c>
      <c r="F102">
        <v>17</v>
      </c>
      <c r="G102" t="s">
        <v>20</v>
      </c>
      <c r="H102">
        <v>713212</v>
      </c>
      <c r="I102">
        <v>8967</v>
      </c>
      <c r="J102">
        <v>79.540000000000006</v>
      </c>
      <c r="K102">
        <v>382466.7</v>
      </c>
      <c r="L102">
        <v>313652.73</v>
      </c>
      <c r="M102">
        <v>17092.57</v>
      </c>
    </row>
    <row r="103" spans="1:13" x14ac:dyDescent="0.3">
      <c r="A103">
        <v>1009</v>
      </c>
      <c r="B103" t="s">
        <v>29</v>
      </c>
      <c r="C103" t="s">
        <v>30</v>
      </c>
      <c r="D103" t="s">
        <v>31</v>
      </c>
      <c r="E103" s="1">
        <v>43831</v>
      </c>
      <c r="F103">
        <v>17</v>
      </c>
      <c r="G103" t="s">
        <v>21</v>
      </c>
      <c r="H103">
        <v>992479</v>
      </c>
      <c r="I103">
        <v>13209</v>
      </c>
      <c r="J103">
        <v>75.14</v>
      </c>
      <c r="K103">
        <v>508926.49</v>
      </c>
      <c r="L103">
        <v>416447.22</v>
      </c>
      <c r="M103">
        <v>67105.289999999994</v>
      </c>
    </row>
    <row r="104" spans="1:13" x14ac:dyDescent="0.3">
      <c r="A104">
        <v>1009</v>
      </c>
      <c r="B104" t="s">
        <v>29</v>
      </c>
      <c r="C104" t="s">
        <v>30</v>
      </c>
      <c r="D104" t="s">
        <v>31</v>
      </c>
      <c r="E104" s="1">
        <v>43831</v>
      </c>
      <c r="F104">
        <v>17</v>
      </c>
      <c r="G104" t="s">
        <v>22</v>
      </c>
      <c r="H104">
        <v>929821</v>
      </c>
      <c r="I104">
        <v>11308</v>
      </c>
      <c r="J104">
        <v>82.23</v>
      </c>
      <c r="K104">
        <v>475935.32</v>
      </c>
      <c r="L104">
        <v>308401.71000000002</v>
      </c>
      <c r="M104">
        <v>145483.96999999901</v>
      </c>
    </row>
    <row r="105" spans="1:13" x14ac:dyDescent="0.3">
      <c r="A105">
        <v>1009</v>
      </c>
      <c r="B105" t="s">
        <v>29</v>
      </c>
      <c r="C105" t="s">
        <v>30</v>
      </c>
      <c r="D105" t="s">
        <v>31</v>
      </c>
      <c r="E105" s="1">
        <v>43831</v>
      </c>
      <c r="F105">
        <v>17</v>
      </c>
      <c r="G105" t="s">
        <v>23</v>
      </c>
      <c r="H105">
        <v>1143894</v>
      </c>
      <c r="I105">
        <v>14423</v>
      </c>
      <c r="J105">
        <v>79.31</v>
      </c>
      <c r="K105">
        <v>582391.93999999994</v>
      </c>
      <c r="L105">
        <v>315094.25</v>
      </c>
      <c r="M105">
        <v>246407.81</v>
      </c>
    </row>
    <row r="106" spans="1:13" x14ac:dyDescent="0.3">
      <c r="A106">
        <v>1009</v>
      </c>
      <c r="B106" t="s">
        <v>29</v>
      </c>
      <c r="C106" t="s">
        <v>30</v>
      </c>
      <c r="D106" t="s">
        <v>31</v>
      </c>
      <c r="E106" s="1">
        <v>43831</v>
      </c>
      <c r="F106">
        <v>17</v>
      </c>
      <c r="G106" t="s">
        <v>24</v>
      </c>
      <c r="H106">
        <v>1181739</v>
      </c>
      <c r="I106">
        <v>13894</v>
      </c>
      <c r="J106">
        <v>85.05</v>
      </c>
      <c r="K106">
        <v>754035.43</v>
      </c>
      <c r="L106">
        <v>455517.36</v>
      </c>
      <c r="M106">
        <v>-27813.79</v>
      </c>
    </row>
    <row r="107" spans="1:13" x14ac:dyDescent="0.3">
      <c r="A107">
        <v>1009</v>
      </c>
      <c r="B107" t="s">
        <v>29</v>
      </c>
      <c r="C107" t="s">
        <v>30</v>
      </c>
      <c r="D107" t="s">
        <v>31</v>
      </c>
      <c r="E107" s="1">
        <v>43831</v>
      </c>
      <c r="F107">
        <v>17</v>
      </c>
      <c r="G107" t="s">
        <v>25</v>
      </c>
      <c r="H107">
        <v>664961</v>
      </c>
      <c r="I107">
        <v>13084</v>
      </c>
      <c r="J107">
        <v>50.82</v>
      </c>
      <c r="K107">
        <v>374919.01</v>
      </c>
      <c r="L107">
        <v>220245.08</v>
      </c>
      <c r="M107">
        <v>69796.91</v>
      </c>
    </row>
    <row r="108" spans="1:13" x14ac:dyDescent="0.3">
      <c r="A108">
        <v>1009</v>
      </c>
      <c r="B108" t="s">
        <v>29</v>
      </c>
      <c r="C108" t="s">
        <v>30</v>
      </c>
      <c r="D108" t="s">
        <v>31</v>
      </c>
      <c r="E108" s="1">
        <v>43831</v>
      </c>
      <c r="F108">
        <v>17</v>
      </c>
      <c r="G108" t="s">
        <v>26</v>
      </c>
      <c r="H108">
        <v>300851</v>
      </c>
      <c r="I108">
        <v>7978</v>
      </c>
      <c r="J108">
        <v>37.71</v>
      </c>
      <c r="K108">
        <v>152646.60999999999</v>
      </c>
      <c r="L108">
        <v>101079.21</v>
      </c>
      <c r="M108">
        <v>47125.18</v>
      </c>
    </row>
    <row r="109" spans="1:13" x14ac:dyDescent="0.3">
      <c r="A109">
        <v>1009</v>
      </c>
      <c r="B109" t="s">
        <v>29</v>
      </c>
      <c r="C109" t="s">
        <v>30</v>
      </c>
      <c r="D109" t="s">
        <v>31</v>
      </c>
      <c r="E109" s="1">
        <v>43831</v>
      </c>
      <c r="F109">
        <v>17</v>
      </c>
      <c r="G109" t="s">
        <v>27</v>
      </c>
      <c r="H109">
        <v>975805</v>
      </c>
      <c r="I109">
        <v>10618</v>
      </c>
      <c r="J109">
        <v>91.9</v>
      </c>
      <c r="K109">
        <v>525331.65</v>
      </c>
      <c r="L109">
        <v>375807.34</v>
      </c>
      <c r="M109">
        <v>74666.009999999893</v>
      </c>
    </row>
    <row r="110" spans="1:13" x14ac:dyDescent="0.3">
      <c r="A110">
        <v>1010</v>
      </c>
      <c r="B110" t="s">
        <v>32</v>
      </c>
      <c r="C110" t="s">
        <v>33</v>
      </c>
      <c r="D110" t="s">
        <v>31</v>
      </c>
      <c r="E110" s="1">
        <v>45091</v>
      </c>
      <c r="F110">
        <v>20</v>
      </c>
      <c r="G110" t="s">
        <v>16</v>
      </c>
      <c r="H110">
        <v>655868</v>
      </c>
      <c r="I110">
        <v>13794</v>
      </c>
      <c r="J110">
        <v>47.55</v>
      </c>
      <c r="K110">
        <v>306263.53999999998</v>
      </c>
      <c r="L110">
        <v>231580.7</v>
      </c>
      <c r="M110">
        <v>118023.76</v>
      </c>
    </row>
    <row r="111" spans="1:13" x14ac:dyDescent="0.3">
      <c r="A111">
        <v>1010</v>
      </c>
      <c r="B111" t="s">
        <v>32</v>
      </c>
      <c r="C111" t="s">
        <v>33</v>
      </c>
      <c r="D111" t="s">
        <v>31</v>
      </c>
      <c r="E111" s="1">
        <v>45091</v>
      </c>
      <c r="F111">
        <v>20</v>
      </c>
      <c r="G111" t="s">
        <v>17</v>
      </c>
      <c r="H111">
        <v>1002940</v>
      </c>
      <c r="I111">
        <v>4530</v>
      </c>
      <c r="J111">
        <v>221.4</v>
      </c>
      <c r="K111">
        <v>615488.93000000005</v>
      </c>
      <c r="L111">
        <v>401404.3</v>
      </c>
      <c r="M111">
        <v>-13953.23</v>
      </c>
    </row>
    <row r="112" spans="1:13" x14ac:dyDescent="0.3">
      <c r="A112">
        <v>1010</v>
      </c>
      <c r="B112" t="s">
        <v>32</v>
      </c>
      <c r="C112" t="s">
        <v>33</v>
      </c>
      <c r="D112" t="s">
        <v>31</v>
      </c>
      <c r="E112" s="1">
        <v>45091</v>
      </c>
      <c r="F112">
        <v>20</v>
      </c>
      <c r="G112" t="s">
        <v>18</v>
      </c>
      <c r="H112">
        <v>950996</v>
      </c>
      <c r="I112">
        <v>6680</v>
      </c>
      <c r="J112">
        <v>142.36000000000001</v>
      </c>
      <c r="K112">
        <v>581355.81999999995</v>
      </c>
      <c r="L112">
        <v>265775.61</v>
      </c>
      <c r="M112">
        <v>103864.57</v>
      </c>
    </row>
    <row r="113" spans="1:13" x14ac:dyDescent="0.3">
      <c r="A113">
        <v>1010</v>
      </c>
      <c r="B113" t="s">
        <v>32</v>
      </c>
      <c r="C113" t="s">
        <v>33</v>
      </c>
      <c r="D113" t="s">
        <v>31</v>
      </c>
      <c r="E113" s="1">
        <v>45091</v>
      </c>
      <c r="F113">
        <v>20</v>
      </c>
      <c r="G113" t="s">
        <v>19</v>
      </c>
      <c r="H113">
        <v>396917</v>
      </c>
      <c r="I113">
        <v>7011</v>
      </c>
      <c r="J113">
        <v>56.61</v>
      </c>
      <c r="K113">
        <v>256720.84</v>
      </c>
      <c r="L113">
        <v>147754.26</v>
      </c>
      <c r="M113">
        <v>-7558.1</v>
      </c>
    </row>
    <row r="114" spans="1:13" x14ac:dyDescent="0.3">
      <c r="A114">
        <v>1010</v>
      </c>
      <c r="B114" t="s">
        <v>32</v>
      </c>
      <c r="C114" t="s">
        <v>33</v>
      </c>
      <c r="D114" t="s">
        <v>31</v>
      </c>
      <c r="E114" s="1">
        <v>45091</v>
      </c>
      <c r="F114">
        <v>20</v>
      </c>
      <c r="G114" t="s">
        <v>20</v>
      </c>
      <c r="H114">
        <v>452731</v>
      </c>
      <c r="I114">
        <v>10461</v>
      </c>
      <c r="J114">
        <v>43.28</v>
      </c>
      <c r="K114">
        <v>241255.01</v>
      </c>
      <c r="L114">
        <v>170205.61</v>
      </c>
      <c r="M114">
        <v>41270.379999999997</v>
      </c>
    </row>
    <row r="115" spans="1:13" x14ac:dyDescent="0.3">
      <c r="A115">
        <v>1010</v>
      </c>
      <c r="B115" t="s">
        <v>32</v>
      </c>
      <c r="C115" t="s">
        <v>33</v>
      </c>
      <c r="D115" t="s">
        <v>31</v>
      </c>
      <c r="E115" s="1">
        <v>45091</v>
      </c>
      <c r="F115">
        <v>20</v>
      </c>
      <c r="G115" t="s">
        <v>21</v>
      </c>
      <c r="H115">
        <v>707760</v>
      </c>
      <c r="I115">
        <v>14769</v>
      </c>
      <c r="J115">
        <v>47.92</v>
      </c>
      <c r="K115">
        <v>417062.34</v>
      </c>
      <c r="L115">
        <v>246920.08</v>
      </c>
      <c r="M115">
        <v>43777.5799999999</v>
      </c>
    </row>
    <row r="116" spans="1:13" x14ac:dyDescent="0.3">
      <c r="A116">
        <v>1010</v>
      </c>
      <c r="B116" t="s">
        <v>32</v>
      </c>
      <c r="C116" t="s">
        <v>33</v>
      </c>
      <c r="D116" t="s">
        <v>31</v>
      </c>
      <c r="E116" s="1">
        <v>45091</v>
      </c>
      <c r="F116">
        <v>20</v>
      </c>
      <c r="G116" t="s">
        <v>22</v>
      </c>
      <c r="H116">
        <v>811672</v>
      </c>
      <c r="I116">
        <v>5417</v>
      </c>
      <c r="J116">
        <v>149.84</v>
      </c>
      <c r="K116">
        <v>471753.18</v>
      </c>
      <c r="L116">
        <v>203818.11</v>
      </c>
      <c r="M116">
        <v>136100.71</v>
      </c>
    </row>
    <row r="117" spans="1:13" x14ac:dyDescent="0.3">
      <c r="A117">
        <v>1010</v>
      </c>
      <c r="B117" t="s">
        <v>32</v>
      </c>
      <c r="C117" t="s">
        <v>33</v>
      </c>
      <c r="D117" t="s">
        <v>31</v>
      </c>
      <c r="E117" s="1">
        <v>45091</v>
      </c>
      <c r="F117">
        <v>20</v>
      </c>
      <c r="G117" t="s">
        <v>23</v>
      </c>
      <c r="H117">
        <v>523529</v>
      </c>
      <c r="I117">
        <v>9965</v>
      </c>
      <c r="J117">
        <v>52.54</v>
      </c>
      <c r="K117">
        <v>258501.99</v>
      </c>
      <c r="L117">
        <v>215077.22</v>
      </c>
      <c r="M117">
        <v>49949.79</v>
      </c>
    </row>
    <row r="118" spans="1:13" x14ac:dyDescent="0.3">
      <c r="A118">
        <v>1010</v>
      </c>
      <c r="B118" t="s">
        <v>32</v>
      </c>
      <c r="C118" t="s">
        <v>33</v>
      </c>
      <c r="D118" t="s">
        <v>31</v>
      </c>
      <c r="E118" s="1">
        <v>45091</v>
      </c>
      <c r="F118">
        <v>20</v>
      </c>
      <c r="G118" t="s">
        <v>24</v>
      </c>
      <c r="H118">
        <v>1386236</v>
      </c>
      <c r="I118">
        <v>10611</v>
      </c>
      <c r="J118">
        <v>130.63999999999999</v>
      </c>
      <c r="K118">
        <v>637729.11</v>
      </c>
      <c r="L118">
        <v>415648.53</v>
      </c>
      <c r="M118">
        <v>332858.36</v>
      </c>
    </row>
    <row r="119" spans="1:13" x14ac:dyDescent="0.3">
      <c r="A119">
        <v>1010</v>
      </c>
      <c r="B119" t="s">
        <v>32</v>
      </c>
      <c r="C119" t="s">
        <v>33</v>
      </c>
      <c r="D119" t="s">
        <v>31</v>
      </c>
      <c r="E119" s="1">
        <v>45091</v>
      </c>
      <c r="F119">
        <v>20</v>
      </c>
      <c r="G119" t="s">
        <v>25</v>
      </c>
      <c r="H119">
        <v>554507</v>
      </c>
      <c r="I119">
        <v>10478</v>
      </c>
      <c r="J119">
        <v>52.92</v>
      </c>
      <c r="K119">
        <v>264315.64</v>
      </c>
      <c r="L119">
        <v>190156.34</v>
      </c>
      <c r="M119">
        <v>100035.019999999</v>
      </c>
    </row>
    <row r="120" spans="1:13" x14ac:dyDescent="0.3">
      <c r="A120">
        <v>1010</v>
      </c>
      <c r="B120" t="s">
        <v>32</v>
      </c>
      <c r="C120" t="s">
        <v>33</v>
      </c>
      <c r="D120" t="s">
        <v>31</v>
      </c>
      <c r="E120" s="1">
        <v>45091</v>
      </c>
      <c r="F120">
        <v>20</v>
      </c>
      <c r="G120" t="s">
        <v>26</v>
      </c>
      <c r="H120">
        <v>1413864</v>
      </c>
      <c r="I120">
        <v>12157</v>
      </c>
      <c r="J120">
        <v>116.3</v>
      </c>
      <c r="K120">
        <v>804616.52</v>
      </c>
      <c r="L120">
        <v>622111.36</v>
      </c>
      <c r="M120">
        <v>-12863.88</v>
      </c>
    </row>
    <row r="121" spans="1:13" x14ac:dyDescent="0.3">
      <c r="A121">
        <v>1010</v>
      </c>
      <c r="B121" t="s">
        <v>32</v>
      </c>
      <c r="C121" t="s">
        <v>33</v>
      </c>
      <c r="D121" t="s">
        <v>31</v>
      </c>
      <c r="E121" s="1">
        <v>45091</v>
      </c>
      <c r="F121">
        <v>20</v>
      </c>
      <c r="G121" t="s">
        <v>27</v>
      </c>
      <c r="H121">
        <v>1228143</v>
      </c>
      <c r="I121">
        <v>13037</v>
      </c>
      <c r="J121">
        <v>94.2</v>
      </c>
      <c r="K121">
        <v>752853.26</v>
      </c>
      <c r="L121">
        <v>526141.44999999995</v>
      </c>
      <c r="M121">
        <v>-50851.709999999897</v>
      </c>
    </row>
    <row r="122" spans="1:13" x14ac:dyDescent="0.3">
      <c r="A122">
        <v>1011</v>
      </c>
      <c r="B122" t="s">
        <v>32</v>
      </c>
      <c r="C122" t="s">
        <v>33</v>
      </c>
      <c r="D122" t="s">
        <v>31</v>
      </c>
      <c r="E122" s="1">
        <v>45167</v>
      </c>
      <c r="F122">
        <v>16</v>
      </c>
      <c r="G122" t="s">
        <v>16</v>
      </c>
      <c r="H122">
        <v>1235148</v>
      </c>
      <c r="I122">
        <v>5607</v>
      </c>
      <c r="J122">
        <v>220.29</v>
      </c>
      <c r="K122">
        <v>739521.51</v>
      </c>
      <c r="L122">
        <v>426045.64</v>
      </c>
      <c r="M122">
        <v>69580.849999999904</v>
      </c>
    </row>
    <row r="123" spans="1:13" x14ac:dyDescent="0.3">
      <c r="A123">
        <v>1011</v>
      </c>
      <c r="B123" t="s">
        <v>32</v>
      </c>
      <c r="C123" t="s">
        <v>33</v>
      </c>
      <c r="D123" t="s">
        <v>31</v>
      </c>
      <c r="E123" s="1">
        <v>45167</v>
      </c>
      <c r="F123">
        <v>16</v>
      </c>
      <c r="G123" t="s">
        <v>17</v>
      </c>
      <c r="H123">
        <v>843564</v>
      </c>
      <c r="I123">
        <v>7050</v>
      </c>
      <c r="J123">
        <v>119.65</v>
      </c>
      <c r="K123">
        <v>521299.42</v>
      </c>
      <c r="L123">
        <v>257676.97</v>
      </c>
      <c r="M123">
        <v>64587.61</v>
      </c>
    </row>
    <row r="124" spans="1:13" x14ac:dyDescent="0.3">
      <c r="A124">
        <v>1011</v>
      </c>
      <c r="B124" t="s">
        <v>32</v>
      </c>
      <c r="C124" t="s">
        <v>33</v>
      </c>
      <c r="D124" t="s">
        <v>31</v>
      </c>
      <c r="E124" s="1">
        <v>45167</v>
      </c>
      <c r="F124">
        <v>16</v>
      </c>
      <c r="G124" t="s">
        <v>18</v>
      </c>
      <c r="H124">
        <v>1393244</v>
      </c>
      <c r="I124">
        <v>10939</v>
      </c>
      <c r="J124">
        <v>127.36</v>
      </c>
      <c r="K124">
        <v>801602.5</v>
      </c>
      <c r="L124">
        <v>424827.25</v>
      </c>
      <c r="M124">
        <v>166814.25</v>
      </c>
    </row>
    <row r="125" spans="1:13" x14ac:dyDescent="0.3">
      <c r="A125">
        <v>1011</v>
      </c>
      <c r="B125" t="s">
        <v>32</v>
      </c>
      <c r="C125" t="s">
        <v>33</v>
      </c>
      <c r="D125" t="s">
        <v>31</v>
      </c>
      <c r="E125" s="1">
        <v>45167</v>
      </c>
      <c r="F125">
        <v>16</v>
      </c>
      <c r="G125" t="s">
        <v>19</v>
      </c>
      <c r="H125">
        <v>462494</v>
      </c>
      <c r="I125">
        <v>14690</v>
      </c>
      <c r="J125">
        <v>31.48</v>
      </c>
      <c r="K125">
        <v>234551.81</v>
      </c>
      <c r="L125">
        <v>140756.82</v>
      </c>
      <c r="M125">
        <v>87185.37</v>
      </c>
    </row>
    <row r="126" spans="1:13" x14ac:dyDescent="0.3">
      <c r="A126">
        <v>1011</v>
      </c>
      <c r="B126" t="s">
        <v>32</v>
      </c>
      <c r="C126" t="s">
        <v>33</v>
      </c>
      <c r="D126" t="s">
        <v>31</v>
      </c>
      <c r="E126" s="1">
        <v>45167</v>
      </c>
      <c r="F126">
        <v>16</v>
      </c>
      <c r="G126" t="s">
        <v>20</v>
      </c>
      <c r="H126">
        <v>970479</v>
      </c>
      <c r="I126">
        <v>11849</v>
      </c>
      <c r="J126">
        <v>81.900000000000006</v>
      </c>
      <c r="K126">
        <v>452355.33</v>
      </c>
      <c r="L126">
        <v>271895.34999999998</v>
      </c>
      <c r="M126">
        <v>246228.32</v>
      </c>
    </row>
    <row r="127" spans="1:13" x14ac:dyDescent="0.3">
      <c r="A127">
        <v>1011</v>
      </c>
      <c r="B127" t="s">
        <v>32</v>
      </c>
      <c r="C127" t="s">
        <v>33</v>
      </c>
      <c r="D127" t="s">
        <v>31</v>
      </c>
      <c r="E127" s="1">
        <v>45167</v>
      </c>
      <c r="F127">
        <v>16</v>
      </c>
      <c r="G127" t="s">
        <v>21</v>
      </c>
      <c r="H127">
        <v>1103283</v>
      </c>
      <c r="I127">
        <v>14369</v>
      </c>
      <c r="J127">
        <v>76.78</v>
      </c>
      <c r="K127">
        <v>530194.84</v>
      </c>
      <c r="L127">
        <v>323030.86</v>
      </c>
      <c r="M127">
        <v>250057.3</v>
      </c>
    </row>
    <row r="128" spans="1:13" x14ac:dyDescent="0.3">
      <c r="A128">
        <v>1011</v>
      </c>
      <c r="B128" t="s">
        <v>32</v>
      </c>
      <c r="C128" t="s">
        <v>33</v>
      </c>
      <c r="D128" t="s">
        <v>31</v>
      </c>
      <c r="E128" s="1">
        <v>45167</v>
      </c>
      <c r="F128">
        <v>16</v>
      </c>
      <c r="G128" t="s">
        <v>22</v>
      </c>
      <c r="H128">
        <v>1170041</v>
      </c>
      <c r="I128">
        <v>9678</v>
      </c>
      <c r="J128">
        <v>120.9</v>
      </c>
      <c r="K128">
        <v>603947.41</v>
      </c>
      <c r="L128">
        <v>401540.36</v>
      </c>
      <c r="M128">
        <v>164553.22999999899</v>
      </c>
    </row>
    <row r="129" spans="1:13" x14ac:dyDescent="0.3">
      <c r="A129">
        <v>1011</v>
      </c>
      <c r="B129" t="s">
        <v>32</v>
      </c>
      <c r="C129" t="s">
        <v>33</v>
      </c>
      <c r="D129" t="s">
        <v>31</v>
      </c>
      <c r="E129" s="1">
        <v>45167</v>
      </c>
      <c r="F129">
        <v>16</v>
      </c>
      <c r="G129" t="s">
        <v>23</v>
      </c>
      <c r="H129">
        <v>430580</v>
      </c>
      <c r="I129">
        <v>6388</v>
      </c>
      <c r="J129">
        <v>67.400000000000006</v>
      </c>
      <c r="K129">
        <v>265486.26</v>
      </c>
      <c r="L129">
        <v>141185.19</v>
      </c>
      <c r="M129">
        <v>23908.549999999901</v>
      </c>
    </row>
    <row r="130" spans="1:13" x14ac:dyDescent="0.3">
      <c r="A130">
        <v>1011</v>
      </c>
      <c r="B130" t="s">
        <v>32</v>
      </c>
      <c r="C130" t="s">
        <v>33</v>
      </c>
      <c r="D130" t="s">
        <v>31</v>
      </c>
      <c r="E130" s="1">
        <v>45167</v>
      </c>
      <c r="F130">
        <v>16</v>
      </c>
      <c r="G130" t="s">
        <v>24</v>
      </c>
      <c r="H130">
        <v>340961</v>
      </c>
      <c r="I130">
        <v>12432</v>
      </c>
      <c r="J130">
        <v>27.43</v>
      </c>
      <c r="K130">
        <v>179371.47</v>
      </c>
      <c r="L130">
        <v>85642.32</v>
      </c>
      <c r="M130">
        <v>75947.209999999905</v>
      </c>
    </row>
    <row r="131" spans="1:13" x14ac:dyDescent="0.3">
      <c r="A131">
        <v>1011</v>
      </c>
      <c r="B131" t="s">
        <v>32</v>
      </c>
      <c r="C131" t="s">
        <v>33</v>
      </c>
      <c r="D131" t="s">
        <v>31</v>
      </c>
      <c r="E131" s="1">
        <v>45167</v>
      </c>
      <c r="F131">
        <v>16</v>
      </c>
      <c r="G131" t="s">
        <v>25</v>
      </c>
      <c r="H131">
        <v>1037691</v>
      </c>
      <c r="I131">
        <v>7892</v>
      </c>
      <c r="J131">
        <v>131.49</v>
      </c>
      <c r="K131">
        <v>623335.81999999995</v>
      </c>
      <c r="L131">
        <v>436545.8</v>
      </c>
      <c r="M131">
        <v>-22190.619999999901</v>
      </c>
    </row>
    <row r="132" spans="1:13" x14ac:dyDescent="0.3">
      <c r="A132">
        <v>1011</v>
      </c>
      <c r="B132" t="s">
        <v>32</v>
      </c>
      <c r="C132" t="s">
        <v>33</v>
      </c>
      <c r="D132" t="s">
        <v>31</v>
      </c>
      <c r="E132" s="1">
        <v>45167</v>
      </c>
      <c r="F132">
        <v>16</v>
      </c>
      <c r="G132" t="s">
        <v>26</v>
      </c>
      <c r="H132">
        <v>1178751</v>
      </c>
      <c r="I132">
        <v>11818</v>
      </c>
      <c r="J132">
        <v>99.74</v>
      </c>
      <c r="K132">
        <v>706664.92</v>
      </c>
      <c r="L132">
        <v>423438.55</v>
      </c>
      <c r="M132">
        <v>48647.529999999897</v>
      </c>
    </row>
    <row r="133" spans="1:13" x14ac:dyDescent="0.3">
      <c r="A133">
        <v>1011</v>
      </c>
      <c r="B133" t="s">
        <v>32</v>
      </c>
      <c r="C133" t="s">
        <v>33</v>
      </c>
      <c r="D133" t="s">
        <v>31</v>
      </c>
      <c r="E133" s="1">
        <v>45167</v>
      </c>
      <c r="F133">
        <v>16</v>
      </c>
      <c r="G133" t="s">
        <v>27</v>
      </c>
      <c r="H133">
        <v>762503</v>
      </c>
      <c r="I133">
        <v>10999</v>
      </c>
      <c r="J133">
        <v>69.319999999999993</v>
      </c>
      <c r="K133">
        <v>376588.28</v>
      </c>
      <c r="L133">
        <v>257091</v>
      </c>
      <c r="M133">
        <v>128823.719999999</v>
      </c>
    </row>
    <row r="134" spans="1:13" x14ac:dyDescent="0.3">
      <c r="A134">
        <v>1012</v>
      </c>
      <c r="B134" t="s">
        <v>32</v>
      </c>
      <c r="C134" t="s">
        <v>33</v>
      </c>
      <c r="D134" t="s">
        <v>15</v>
      </c>
      <c r="E134" s="1">
        <v>44262</v>
      </c>
      <c r="F134">
        <v>13</v>
      </c>
      <c r="G134" t="s">
        <v>16</v>
      </c>
      <c r="H134">
        <v>1147913</v>
      </c>
      <c r="I134">
        <v>14864</v>
      </c>
      <c r="J134">
        <v>77.23</v>
      </c>
      <c r="K134">
        <v>554452.25</v>
      </c>
      <c r="L134">
        <v>394282.9</v>
      </c>
      <c r="M134">
        <v>199177.84999999899</v>
      </c>
    </row>
    <row r="135" spans="1:13" x14ac:dyDescent="0.3">
      <c r="A135">
        <v>1012</v>
      </c>
      <c r="B135" t="s">
        <v>32</v>
      </c>
      <c r="C135" t="s">
        <v>33</v>
      </c>
      <c r="D135" t="s">
        <v>15</v>
      </c>
      <c r="E135" s="1">
        <v>44262</v>
      </c>
      <c r="F135">
        <v>13</v>
      </c>
      <c r="G135" t="s">
        <v>17</v>
      </c>
      <c r="H135">
        <v>567654</v>
      </c>
      <c r="I135">
        <v>13195</v>
      </c>
      <c r="J135">
        <v>43.02</v>
      </c>
      <c r="K135">
        <v>316083.78000000003</v>
      </c>
      <c r="L135">
        <v>244877.86</v>
      </c>
      <c r="M135">
        <v>6692.3599999999797</v>
      </c>
    </row>
    <row r="136" spans="1:13" x14ac:dyDescent="0.3">
      <c r="A136">
        <v>1012</v>
      </c>
      <c r="B136" t="s">
        <v>32</v>
      </c>
      <c r="C136" t="s">
        <v>33</v>
      </c>
      <c r="D136" t="s">
        <v>15</v>
      </c>
      <c r="E136" s="1">
        <v>44262</v>
      </c>
      <c r="F136">
        <v>13</v>
      </c>
      <c r="G136" t="s">
        <v>18</v>
      </c>
      <c r="H136">
        <v>1483615</v>
      </c>
      <c r="I136">
        <v>13862</v>
      </c>
      <c r="J136">
        <v>107.03</v>
      </c>
      <c r="K136">
        <v>675668.55</v>
      </c>
      <c r="L136">
        <v>561622.35</v>
      </c>
      <c r="M136">
        <v>246324.09999999899</v>
      </c>
    </row>
    <row r="137" spans="1:13" x14ac:dyDescent="0.3">
      <c r="A137">
        <v>1012</v>
      </c>
      <c r="B137" t="s">
        <v>32</v>
      </c>
      <c r="C137" t="s">
        <v>33</v>
      </c>
      <c r="D137" t="s">
        <v>15</v>
      </c>
      <c r="E137" s="1">
        <v>44262</v>
      </c>
      <c r="F137">
        <v>13</v>
      </c>
      <c r="G137" t="s">
        <v>19</v>
      </c>
      <c r="H137">
        <v>584582</v>
      </c>
      <c r="I137">
        <v>10564</v>
      </c>
      <c r="J137">
        <v>55.34</v>
      </c>
      <c r="K137">
        <v>284309</v>
      </c>
      <c r="L137">
        <v>176562.04</v>
      </c>
      <c r="M137">
        <v>123710.959999999</v>
      </c>
    </row>
    <row r="138" spans="1:13" x14ac:dyDescent="0.3">
      <c r="A138">
        <v>1012</v>
      </c>
      <c r="B138" t="s">
        <v>32</v>
      </c>
      <c r="C138" t="s">
        <v>33</v>
      </c>
      <c r="D138" t="s">
        <v>15</v>
      </c>
      <c r="E138" s="1">
        <v>44262</v>
      </c>
      <c r="F138">
        <v>13</v>
      </c>
      <c r="G138" t="s">
        <v>20</v>
      </c>
      <c r="H138">
        <v>986508</v>
      </c>
      <c r="I138">
        <v>6467</v>
      </c>
      <c r="J138">
        <v>152.54</v>
      </c>
      <c r="K138">
        <v>533641.5</v>
      </c>
      <c r="L138">
        <v>313216.40000000002</v>
      </c>
      <c r="M138">
        <v>139650.09999999899</v>
      </c>
    </row>
    <row r="139" spans="1:13" x14ac:dyDescent="0.3">
      <c r="A139">
        <v>1012</v>
      </c>
      <c r="B139" t="s">
        <v>32</v>
      </c>
      <c r="C139" t="s">
        <v>33</v>
      </c>
      <c r="D139" t="s">
        <v>15</v>
      </c>
      <c r="E139" s="1">
        <v>44262</v>
      </c>
      <c r="F139">
        <v>13</v>
      </c>
      <c r="G139" t="s">
        <v>21</v>
      </c>
      <c r="H139">
        <v>1095085</v>
      </c>
      <c r="I139">
        <v>7558</v>
      </c>
      <c r="J139">
        <v>144.88999999999999</v>
      </c>
      <c r="K139">
        <v>657491.18999999994</v>
      </c>
      <c r="L139">
        <v>455976.81</v>
      </c>
      <c r="M139">
        <v>-18382.999999999902</v>
      </c>
    </row>
    <row r="140" spans="1:13" x14ac:dyDescent="0.3">
      <c r="A140">
        <v>1012</v>
      </c>
      <c r="B140" t="s">
        <v>32</v>
      </c>
      <c r="C140" t="s">
        <v>33</v>
      </c>
      <c r="D140" t="s">
        <v>15</v>
      </c>
      <c r="E140" s="1">
        <v>44262</v>
      </c>
      <c r="F140">
        <v>13</v>
      </c>
      <c r="G140" t="s">
        <v>22</v>
      </c>
      <c r="H140">
        <v>829051</v>
      </c>
      <c r="I140">
        <v>4341</v>
      </c>
      <c r="J140">
        <v>190.98</v>
      </c>
      <c r="K140">
        <v>451054.62</v>
      </c>
      <c r="L140">
        <v>331458.61</v>
      </c>
      <c r="M140">
        <v>46537.77</v>
      </c>
    </row>
    <row r="141" spans="1:13" x14ac:dyDescent="0.3">
      <c r="A141">
        <v>1012</v>
      </c>
      <c r="B141" t="s">
        <v>32</v>
      </c>
      <c r="C141" t="s">
        <v>33</v>
      </c>
      <c r="D141" t="s">
        <v>15</v>
      </c>
      <c r="E141" s="1">
        <v>44262</v>
      </c>
      <c r="F141">
        <v>13</v>
      </c>
      <c r="G141" t="s">
        <v>23</v>
      </c>
      <c r="H141">
        <v>409231</v>
      </c>
      <c r="I141">
        <v>8733</v>
      </c>
      <c r="J141">
        <v>46.86</v>
      </c>
      <c r="K141">
        <v>202505.68</v>
      </c>
      <c r="L141">
        <v>107923.9</v>
      </c>
      <c r="M141">
        <v>98801.42</v>
      </c>
    </row>
    <row r="142" spans="1:13" x14ac:dyDescent="0.3">
      <c r="A142">
        <v>1012</v>
      </c>
      <c r="B142" t="s">
        <v>32</v>
      </c>
      <c r="C142" t="s">
        <v>33</v>
      </c>
      <c r="D142" t="s">
        <v>15</v>
      </c>
      <c r="E142" s="1">
        <v>44262</v>
      </c>
      <c r="F142">
        <v>13</v>
      </c>
      <c r="G142" t="s">
        <v>24</v>
      </c>
      <c r="H142">
        <v>384427</v>
      </c>
      <c r="I142">
        <v>3508</v>
      </c>
      <c r="J142">
        <v>109.59</v>
      </c>
      <c r="K142">
        <v>246003.43</v>
      </c>
      <c r="L142">
        <v>111434.68</v>
      </c>
      <c r="M142">
        <v>26988.89</v>
      </c>
    </row>
    <row r="143" spans="1:13" x14ac:dyDescent="0.3">
      <c r="A143">
        <v>1012</v>
      </c>
      <c r="B143" t="s">
        <v>32</v>
      </c>
      <c r="C143" t="s">
        <v>33</v>
      </c>
      <c r="D143" t="s">
        <v>15</v>
      </c>
      <c r="E143" s="1">
        <v>44262</v>
      </c>
      <c r="F143">
        <v>13</v>
      </c>
      <c r="G143" t="s">
        <v>25</v>
      </c>
      <c r="H143">
        <v>342739</v>
      </c>
      <c r="I143">
        <v>13179</v>
      </c>
      <c r="J143">
        <v>26.01</v>
      </c>
      <c r="K143">
        <v>164678.01999999999</v>
      </c>
      <c r="L143">
        <v>94336.92</v>
      </c>
      <c r="M143">
        <v>83724.06</v>
      </c>
    </row>
    <row r="144" spans="1:13" x14ac:dyDescent="0.3">
      <c r="A144">
        <v>1012</v>
      </c>
      <c r="B144" t="s">
        <v>32</v>
      </c>
      <c r="C144" t="s">
        <v>33</v>
      </c>
      <c r="D144" t="s">
        <v>15</v>
      </c>
      <c r="E144" s="1">
        <v>44262</v>
      </c>
      <c r="F144">
        <v>13</v>
      </c>
      <c r="G144" t="s">
        <v>26</v>
      </c>
      <c r="H144">
        <v>539892</v>
      </c>
      <c r="I144">
        <v>12240</v>
      </c>
      <c r="J144">
        <v>44.11</v>
      </c>
      <c r="K144">
        <v>345288.69</v>
      </c>
      <c r="L144">
        <v>185186.63</v>
      </c>
      <c r="M144">
        <v>9416.6799999999894</v>
      </c>
    </row>
    <row r="145" spans="1:13" x14ac:dyDescent="0.3">
      <c r="A145">
        <v>1012</v>
      </c>
      <c r="B145" t="s">
        <v>32</v>
      </c>
      <c r="C145" t="s">
        <v>33</v>
      </c>
      <c r="D145" t="s">
        <v>15</v>
      </c>
      <c r="E145" s="1">
        <v>44262</v>
      </c>
      <c r="F145">
        <v>13</v>
      </c>
      <c r="G145" t="s">
        <v>27</v>
      </c>
      <c r="H145">
        <v>837381</v>
      </c>
      <c r="I145">
        <v>9043</v>
      </c>
      <c r="J145">
        <v>92.6</v>
      </c>
      <c r="K145">
        <v>404922.14</v>
      </c>
      <c r="L145">
        <v>311044.75</v>
      </c>
      <c r="M145">
        <v>121414.109999999</v>
      </c>
    </row>
    <row r="146" spans="1:13" x14ac:dyDescent="0.3">
      <c r="A146">
        <v>1013</v>
      </c>
      <c r="B146" t="s">
        <v>34</v>
      </c>
      <c r="C146" t="s">
        <v>35</v>
      </c>
      <c r="D146" t="s">
        <v>15</v>
      </c>
      <c r="E146" s="1">
        <v>45058</v>
      </c>
      <c r="F146">
        <v>10</v>
      </c>
      <c r="G146" t="s">
        <v>16</v>
      </c>
      <c r="H146">
        <v>952295</v>
      </c>
      <c r="I146">
        <v>4771</v>
      </c>
      <c r="J146">
        <v>199.6</v>
      </c>
      <c r="K146">
        <v>538748.47</v>
      </c>
      <c r="L146">
        <v>414988.67</v>
      </c>
      <c r="M146">
        <v>-1442.1399999999501</v>
      </c>
    </row>
    <row r="147" spans="1:13" x14ac:dyDescent="0.3">
      <c r="A147">
        <v>1013</v>
      </c>
      <c r="B147" t="s">
        <v>34</v>
      </c>
      <c r="C147" t="s">
        <v>35</v>
      </c>
      <c r="D147" t="s">
        <v>15</v>
      </c>
      <c r="E147" s="1">
        <v>45058</v>
      </c>
      <c r="F147">
        <v>10</v>
      </c>
      <c r="G147" t="s">
        <v>17</v>
      </c>
      <c r="H147">
        <v>1087075</v>
      </c>
      <c r="I147">
        <v>9498</v>
      </c>
      <c r="J147">
        <v>114.45</v>
      </c>
      <c r="K147">
        <v>693873.58</v>
      </c>
      <c r="L147">
        <v>314888.62</v>
      </c>
      <c r="M147">
        <v>78312.800000000003</v>
      </c>
    </row>
    <row r="148" spans="1:13" x14ac:dyDescent="0.3">
      <c r="A148">
        <v>1013</v>
      </c>
      <c r="B148" t="s">
        <v>34</v>
      </c>
      <c r="C148" t="s">
        <v>35</v>
      </c>
      <c r="D148" t="s">
        <v>15</v>
      </c>
      <c r="E148" s="1">
        <v>45058</v>
      </c>
      <c r="F148">
        <v>10</v>
      </c>
      <c r="G148" t="s">
        <v>18</v>
      </c>
      <c r="H148">
        <v>809292</v>
      </c>
      <c r="I148">
        <v>4669</v>
      </c>
      <c r="J148">
        <v>173.33</v>
      </c>
      <c r="K148">
        <v>477027.94</v>
      </c>
      <c r="L148">
        <v>251136.69</v>
      </c>
      <c r="M148">
        <v>81127.37</v>
      </c>
    </row>
    <row r="149" spans="1:13" x14ac:dyDescent="0.3">
      <c r="A149">
        <v>1013</v>
      </c>
      <c r="B149" t="s">
        <v>34</v>
      </c>
      <c r="C149" t="s">
        <v>35</v>
      </c>
      <c r="D149" t="s">
        <v>15</v>
      </c>
      <c r="E149" s="1">
        <v>45058</v>
      </c>
      <c r="F149">
        <v>10</v>
      </c>
      <c r="G149" t="s">
        <v>19</v>
      </c>
      <c r="H149">
        <v>553870</v>
      </c>
      <c r="I149">
        <v>12272</v>
      </c>
      <c r="J149">
        <v>45.13</v>
      </c>
      <c r="K149">
        <v>335937.15</v>
      </c>
      <c r="L149">
        <v>176928.65</v>
      </c>
      <c r="M149">
        <v>41004.199999999903</v>
      </c>
    </row>
    <row r="150" spans="1:13" x14ac:dyDescent="0.3">
      <c r="A150">
        <v>1013</v>
      </c>
      <c r="B150" t="s">
        <v>34</v>
      </c>
      <c r="C150" t="s">
        <v>35</v>
      </c>
      <c r="D150" t="s">
        <v>15</v>
      </c>
      <c r="E150" s="1">
        <v>45058</v>
      </c>
      <c r="F150">
        <v>10</v>
      </c>
      <c r="G150" t="s">
        <v>20</v>
      </c>
      <c r="H150">
        <v>1198373</v>
      </c>
      <c r="I150">
        <v>13838</v>
      </c>
      <c r="J150">
        <v>86.6</v>
      </c>
      <c r="K150">
        <v>628084.28</v>
      </c>
      <c r="L150">
        <v>420859.2</v>
      </c>
      <c r="M150">
        <v>149429.519999999</v>
      </c>
    </row>
    <row r="151" spans="1:13" x14ac:dyDescent="0.3">
      <c r="A151">
        <v>1013</v>
      </c>
      <c r="B151" t="s">
        <v>34</v>
      </c>
      <c r="C151" t="s">
        <v>35</v>
      </c>
      <c r="D151" t="s">
        <v>15</v>
      </c>
      <c r="E151" s="1">
        <v>45058</v>
      </c>
      <c r="F151">
        <v>10</v>
      </c>
      <c r="G151" t="s">
        <v>21</v>
      </c>
      <c r="H151">
        <v>1015613</v>
      </c>
      <c r="I151">
        <v>3207</v>
      </c>
      <c r="J151">
        <v>316.69</v>
      </c>
      <c r="K151">
        <v>629593.86</v>
      </c>
      <c r="L151">
        <v>420937.24</v>
      </c>
      <c r="M151">
        <v>-34918.099999999897</v>
      </c>
    </row>
    <row r="152" spans="1:13" x14ac:dyDescent="0.3">
      <c r="A152">
        <v>1013</v>
      </c>
      <c r="B152" t="s">
        <v>34</v>
      </c>
      <c r="C152" t="s">
        <v>35</v>
      </c>
      <c r="D152" t="s">
        <v>15</v>
      </c>
      <c r="E152" s="1">
        <v>45058</v>
      </c>
      <c r="F152">
        <v>10</v>
      </c>
      <c r="G152" t="s">
        <v>22</v>
      </c>
      <c r="H152">
        <v>521331</v>
      </c>
      <c r="I152">
        <v>10102</v>
      </c>
      <c r="J152">
        <v>51.61</v>
      </c>
      <c r="K152">
        <v>334776.62</v>
      </c>
      <c r="L152">
        <v>196602.79</v>
      </c>
      <c r="M152">
        <v>-10048.41</v>
      </c>
    </row>
    <row r="153" spans="1:13" x14ac:dyDescent="0.3">
      <c r="A153">
        <v>1013</v>
      </c>
      <c r="B153" t="s">
        <v>34</v>
      </c>
      <c r="C153" t="s">
        <v>35</v>
      </c>
      <c r="D153" t="s">
        <v>15</v>
      </c>
      <c r="E153" s="1">
        <v>45058</v>
      </c>
      <c r="F153">
        <v>10</v>
      </c>
      <c r="G153" t="s">
        <v>23</v>
      </c>
      <c r="H153">
        <v>1264143</v>
      </c>
      <c r="I153">
        <v>14588</v>
      </c>
      <c r="J153">
        <v>86.66</v>
      </c>
      <c r="K153">
        <v>607544.89</v>
      </c>
      <c r="L153">
        <v>360568.21</v>
      </c>
      <c r="M153">
        <v>296029.89999999898</v>
      </c>
    </row>
    <row r="154" spans="1:13" x14ac:dyDescent="0.3">
      <c r="A154">
        <v>1013</v>
      </c>
      <c r="B154" t="s">
        <v>34</v>
      </c>
      <c r="C154" t="s">
        <v>35</v>
      </c>
      <c r="D154" t="s">
        <v>15</v>
      </c>
      <c r="E154" s="1">
        <v>45058</v>
      </c>
      <c r="F154">
        <v>10</v>
      </c>
      <c r="G154" t="s">
        <v>24</v>
      </c>
      <c r="H154">
        <v>1394182</v>
      </c>
      <c r="I154">
        <v>13657</v>
      </c>
      <c r="J154">
        <v>102.09</v>
      </c>
      <c r="K154">
        <v>702690.7</v>
      </c>
      <c r="L154">
        <v>573900.86</v>
      </c>
      <c r="M154">
        <v>117590.44</v>
      </c>
    </row>
    <row r="155" spans="1:13" x14ac:dyDescent="0.3">
      <c r="A155">
        <v>1013</v>
      </c>
      <c r="B155" t="s">
        <v>34</v>
      </c>
      <c r="C155" t="s">
        <v>35</v>
      </c>
      <c r="D155" t="s">
        <v>15</v>
      </c>
      <c r="E155" s="1">
        <v>45058</v>
      </c>
      <c r="F155">
        <v>10</v>
      </c>
      <c r="G155" t="s">
        <v>25</v>
      </c>
      <c r="H155">
        <v>1428630</v>
      </c>
      <c r="I155">
        <v>10921</v>
      </c>
      <c r="J155">
        <v>130.81</v>
      </c>
      <c r="K155">
        <v>775710.02</v>
      </c>
      <c r="L155">
        <v>593091.34</v>
      </c>
      <c r="M155">
        <v>59828.639999999999</v>
      </c>
    </row>
    <row r="156" spans="1:13" x14ac:dyDescent="0.3">
      <c r="A156">
        <v>1013</v>
      </c>
      <c r="B156" t="s">
        <v>34</v>
      </c>
      <c r="C156" t="s">
        <v>35</v>
      </c>
      <c r="D156" t="s">
        <v>15</v>
      </c>
      <c r="E156" s="1">
        <v>45058</v>
      </c>
      <c r="F156">
        <v>10</v>
      </c>
      <c r="G156" t="s">
        <v>26</v>
      </c>
      <c r="H156">
        <v>862866</v>
      </c>
      <c r="I156">
        <v>8280</v>
      </c>
      <c r="J156">
        <v>104.21</v>
      </c>
      <c r="K156">
        <v>535272.56999999995</v>
      </c>
      <c r="L156">
        <v>359078.41</v>
      </c>
      <c r="M156">
        <v>-31484.979999999901</v>
      </c>
    </row>
    <row r="157" spans="1:13" x14ac:dyDescent="0.3">
      <c r="A157">
        <v>1013</v>
      </c>
      <c r="B157" t="s">
        <v>34</v>
      </c>
      <c r="C157" t="s">
        <v>35</v>
      </c>
      <c r="D157" t="s">
        <v>15</v>
      </c>
      <c r="E157" s="1">
        <v>45058</v>
      </c>
      <c r="F157">
        <v>10</v>
      </c>
      <c r="G157" t="s">
        <v>27</v>
      </c>
      <c r="H157">
        <v>481745</v>
      </c>
      <c r="I157">
        <v>7569</v>
      </c>
      <c r="J157">
        <v>63.65</v>
      </c>
      <c r="K157">
        <v>301729.53000000003</v>
      </c>
      <c r="L157">
        <v>143932.25</v>
      </c>
      <c r="M157">
        <v>36083.219999999899</v>
      </c>
    </row>
    <row r="158" spans="1:13" x14ac:dyDescent="0.3">
      <c r="A158">
        <v>1014</v>
      </c>
      <c r="B158" t="s">
        <v>34</v>
      </c>
      <c r="C158" t="s">
        <v>35</v>
      </c>
      <c r="D158" t="s">
        <v>31</v>
      </c>
      <c r="E158" s="1">
        <v>44633</v>
      </c>
      <c r="F158">
        <v>17</v>
      </c>
      <c r="G158" t="s">
        <v>16</v>
      </c>
      <c r="H158">
        <v>1094798</v>
      </c>
      <c r="I158">
        <v>8511</v>
      </c>
      <c r="J158">
        <v>128.63</v>
      </c>
      <c r="K158">
        <v>498943.24</v>
      </c>
      <c r="L158">
        <v>460023.79</v>
      </c>
      <c r="M158">
        <v>135830.97</v>
      </c>
    </row>
    <row r="159" spans="1:13" x14ac:dyDescent="0.3">
      <c r="A159">
        <v>1014</v>
      </c>
      <c r="B159" t="s">
        <v>34</v>
      </c>
      <c r="C159" t="s">
        <v>35</v>
      </c>
      <c r="D159" t="s">
        <v>31</v>
      </c>
      <c r="E159" s="1">
        <v>44633</v>
      </c>
      <c r="F159">
        <v>17</v>
      </c>
      <c r="G159" t="s">
        <v>17</v>
      </c>
      <c r="H159">
        <v>681345</v>
      </c>
      <c r="I159">
        <v>10988</v>
      </c>
      <c r="J159">
        <v>62.01</v>
      </c>
      <c r="K159">
        <v>335510.61</v>
      </c>
      <c r="L159">
        <v>279056.07</v>
      </c>
      <c r="M159">
        <v>66778.320000000007</v>
      </c>
    </row>
    <row r="160" spans="1:13" x14ac:dyDescent="0.3">
      <c r="A160">
        <v>1014</v>
      </c>
      <c r="B160" t="s">
        <v>34</v>
      </c>
      <c r="C160" t="s">
        <v>35</v>
      </c>
      <c r="D160" t="s">
        <v>31</v>
      </c>
      <c r="E160" s="1">
        <v>44633</v>
      </c>
      <c r="F160">
        <v>17</v>
      </c>
      <c r="G160" t="s">
        <v>18</v>
      </c>
      <c r="H160">
        <v>1013742</v>
      </c>
      <c r="I160">
        <v>7581</v>
      </c>
      <c r="J160">
        <v>133.72</v>
      </c>
      <c r="K160">
        <v>634667.37</v>
      </c>
      <c r="L160">
        <v>395599.38</v>
      </c>
      <c r="M160">
        <v>-16524.75</v>
      </c>
    </row>
    <row r="161" spans="1:13" x14ac:dyDescent="0.3">
      <c r="A161">
        <v>1014</v>
      </c>
      <c r="B161" t="s">
        <v>34</v>
      </c>
      <c r="C161" t="s">
        <v>35</v>
      </c>
      <c r="D161" t="s">
        <v>31</v>
      </c>
      <c r="E161" s="1">
        <v>44633</v>
      </c>
      <c r="F161">
        <v>17</v>
      </c>
      <c r="G161" t="s">
        <v>19</v>
      </c>
      <c r="H161">
        <v>879377</v>
      </c>
      <c r="I161">
        <v>12106</v>
      </c>
      <c r="J161">
        <v>72.64</v>
      </c>
      <c r="K161">
        <v>397504.98</v>
      </c>
      <c r="L161">
        <v>386585.14</v>
      </c>
      <c r="M161">
        <v>95286.88</v>
      </c>
    </row>
    <row r="162" spans="1:13" x14ac:dyDescent="0.3">
      <c r="A162">
        <v>1014</v>
      </c>
      <c r="B162" t="s">
        <v>34</v>
      </c>
      <c r="C162" t="s">
        <v>35</v>
      </c>
      <c r="D162" t="s">
        <v>31</v>
      </c>
      <c r="E162" s="1">
        <v>44633</v>
      </c>
      <c r="F162">
        <v>17</v>
      </c>
      <c r="G162" t="s">
        <v>20</v>
      </c>
      <c r="H162">
        <v>479543</v>
      </c>
      <c r="I162">
        <v>6954</v>
      </c>
      <c r="J162">
        <v>68.959999999999994</v>
      </c>
      <c r="K162">
        <v>284855.7</v>
      </c>
      <c r="L162">
        <v>166744.57</v>
      </c>
      <c r="M162">
        <v>27942.729999999901</v>
      </c>
    </row>
    <row r="163" spans="1:13" x14ac:dyDescent="0.3">
      <c r="A163">
        <v>1014</v>
      </c>
      <c r="B163" t="s">
        <v>34</v>
      </c>
      <c r="C163" t="s">
        <v>35</v>
      </c>
      <c r="D163" t="s">
        <v>31</v>
      </c>
      <c r="E163" s="1">
        <v>44633</v>
      </c>
      <c r="F163">
        <v>17</v>
      </c>
      <c r="G163" t="s">
        <v>21</v>
      </c>
      <c r="H163">
        <v>803995</v>
      </c>
      <c r="I163">
        <v>14314</v>
      </c>
      <c r="J163">
        <v>56.17</v>
      </c>
      <c r="K163">
        <v>438353.05</v>
      </c>
      <c r="L163">
        <v>315462.3</v>
      </c>
      <c r="M163">
        <v>50179.65</v>
      </c>
    </row>
    <row r="164" spans="1:13" x14ac:dyDescent="0.3">
      <c r="A164">
        <v>1014</v>
      </c>
      <c r="B164" t="s">
        <v>34</v>
      </c>
      <c r="C164" t="s">
        <v>35</v>
      </c>
      <c r="D164" t="s">
        <v>31</v>
      </c>
      <c r="E164" s="1">
        <v>44633</v>
      </c>
      <c r="F164">
        <v>17</v>
      </c>
      <c r="G164" t="s">
        <v>22</v>
      </c>
      <c r="H164">
        <v>1239890</v>
      </c>
      <c r="I164">
        <v>3282</v>
      </c>
      <c r="J164">
        <v>377.78</v>
      </c>
      <c r="K164">
        <v>581025.68000000005</v>
      </c>
      <c r="L164">
        <v>364923.53</v>
      </c>
      <c r="M164">
        <v>293940.78999999899</v>
      </c>
    </row>
    <row r="165" spans="1:13" x14ac:dyDescent="0.3">
      <c r="A165">
        <v>1014</v>
      </c>
      <c r="B165" t="s">
        <v>34</v>
      </c>
      <c r="C165" t="s">
        <v>35</v>
      </c>
      <c r="D165" t="s">
        <v>31</v>
      </c>
      <c r="E165" s="1">
        <v>44633</v>
      </c>
      <c r="F165">
        <v>17</v>
      </c>
      <c r="G165" t="s">
        <v>23</v>
      </c>
      <c r="H165">
        <v>810247</v>
      </c>
      <c r="I165">
        <v>8016</v>
      </c>
      <c r="J165">
        <v>101.08</v>
      </c>
      <c r="K165">
        <v>472205.47</v>
      </c>
      <c r="L165">
        <v>262361.28999999998</v>
      </c>
      <c r="M165">
        <v>75680.240000000005</v>
      </c>
    </row>
    <row r="166" spans="1:13" x14ac:dyDescent="0.3">
      <c r="A166">
        <v>1014</v>
      </c>
      <c r="B166" t="s">
        <v>34</v>
      </c>
      <c r="C166" t="s">
        <v>35</v>
      </c>
      <c r="D166" t="s">
        <v>31</v>
      </c>
      <c r="E166" s="1">
        <v>44633</v>
      </c>
      <c r="F166">
        <v>17</v>
      </c>
      <c r="G166" t="s">
        <v>24</v>
      </c>
      <c r="H166">
        <v>1460716</v>
      </c>
      <c r="I166">
        <v>11698</v>
      </c>
      <c r="J166">
        <v>124.87</v>
      </c>
      <c r="K166">
        <v>757748.59</v>
      </c>
      <c r="L166">
        <v>656338.11</v>
      </c>
      <c r="M166">
        <v>46629.3</v>
      </c>
    </row>
    <row r="167" spans="1:13" x14ac:dyDescent="0.3">
      <c r="A167">
        <v>1014</v>
      </c>
      <c r="B167" t="s">
        <v>34</v>
      </c>
      <c r="C167" t="s">
        <v>35</v>
      </c>
      <c r="D167" t="s">
        <v>31</v>
      </c>
      <c r="E167" s="1">
        <v>44633</v>
      </c>
      <c r="F167">
        <v>17</v>
      </c>
      <c r="G167" t="s">
        <v>25</v>
      </c>
      <c r="H167">
        <v>1454248</v>
      </c>
      <c r="I167">
        <v>8419</v>
      </c>
      <c r="J167">
        <v>172.73</v>
      </c>
      <c r="K167">
        <v>756735.55</v>
      </c>
      <c r="L167">
        <v>495533.63</v>
      </c>
      <c r="M167">
        <v>201978.81999999899</v>
      </c>
    </row>
    <row r="168" spans="1:13" x14ac:dyDescent="0.3">
      <c r="A168">
        <v>1014</v>
      </c>
      <c r="B168" t="s">
        <v>34</v>
      </c>
      <c r="C168" t="s">
        <v>35</v>
      </c>
      <c r="D168" t="s">
        <v>31</v>
      </c>
      <c r="E168" s="1">
        <v>44633</v>
      </c>
      <c r="F168">
        <v>17</v>
      </c>
      <c r="G168" t="s">
        <v>26</v>
      </c>
      <c r="H168">
        <v>943035</v>
      </c>
      <c r="I168">
        <v>7118</v>
      </c>
      <c r="J168">
        <v>132.49</v>
      </c>
      <c r="K168">
        <v>467846.84</v>
      </c>
      <c r="L168">
        <v>371798.02</v>
      </c>
      <c r="M168">
        <v>103390.139999999</v>
      </c>
    </row>
    <row r="169" spans="1:13" x14ac:dyDescent="0.3">
      <c r="A169">
        <v>1014</v>
      </c>
      <c r="B169" t="s">
        <v>34</v>
      </c>
      <c r="C169" t="s">
        <v>35</v>
      </c>
      <c r="D169" t="s">
        <v>31</v>
      </c>
      <c r="E169" s="1">
        <v>44633</v>
      </c>
      <c r="F169">
        <v>17</v>
      </c>
      <c r="G169" t="s">
        <v>27</v>
      </c>
      <c r="H169">
        <v>961752</v>
      </c>
      <c r="I169">
        <v>4958</v>
      </c>
      <c r="J169">
        <v>193.98</v>
      </c>
      <c r="K169">
        <v>575681.87</v>
      </c>
      <c r="L169">
        <v>423339.68</v>
      </c>
      <c r="M169">
        <v>-37269.549999999901</v>
      </c>
    </row>
    <row r="170" spans="1:13" x14ac:dyDescent="0.3">
      <c r="A170">
        <v>1015</v>
      </c>
      <c r="B170" t="s">
        <v>34</v>
      </c>
      <c r="C170" t="s">
        <v>35</v>
      </c>
      <c r="D170" t="s">
        <v>15</v>
      </c>
      <c r="E170" s="1">
        <v>43858</v>
      </c>
      <c r="F170">
        <v>11</v>
      </c>
      <c r="G170" t="s">
        <v>16</v>
      </c>
      <c r="H170">
        <v>1315438</v>
      </c>
      <c r="I170">
        <v>7530</v>
      </c>
      <c r="J170">
        <v>174.69</v>
      </c>
      <c r="K170">
        <v>782576.43</v>
      </c>
      <c r="L170">
        <v>585792.69999999995</v>
      </c>
      <c r="M170">
        <v>-52931.13</v>
      </c>
    </row>
    <row r="171" spans="1:13" x14ac:dyDescent="0.3">
      <c r="A171">
        <v>1015</v>
      </c>
      <c r="B171" t="s">
        <v>34</v>
      </c>
      <c r="C171" t="s">
        <v>35</v>
      </c>
      <c r="D171" t="s">
        <v>15</v>
      </c>
      <c r="E171" s="1">
        <v>43858</v>
      </c>
      <c r="F171">
        <v>11</v>
      </c>
      <c r="G171" t="s">
        <v>17</v>
      </c>
      <c r="H171">
        <v>1400243</v>
      </c>
      <c r="I171">
        <v>12777</v>
      </c>
      <c r="J171">
        <v>109.59</v>
      </c>
      <c r="K171">
        <v>709362.74</v>
      </c>
      <c r="L171">
        <v>378212.95</v>
      </c>
      <c r="M171">
        <v>312667.31</v>
      </c>
    </row>
    <row r="172" spans="1:13" x14ac:dyDescent="0.3">
      <c r="A172">
        <v>1015</v>
      </c>
      <c r="B172" t="s">
        <v>34</v>
      </c>
      <c r="C172" t="s">
        <v>35</v>
      </c>
      <c r="D172" t="s">
        <v>15</v>
      </c>
      <c r="E172" s="1">
        <v>43858</v>
      </c>
      <c r="F172">
        <v>11</v>
      </c>
      <c r="G172" t="s">
        <v>18</v>
      </c>
      <c r="H172">
        <v>707094</v>
      </c>
      <c r="I172">
        <v>7853</v>
      </c>
      <c r="J172">
        <v>90.04</v>
      </c>
      <c r="K172">
        <v>350362.7</v>
      </c>
      <c r="L172">
        <v>202149.91</v>
      </c>
      <c r="M172">
        <v>154581.389999999</v>
      </c>
    </row>
    <row r="173" spans="1:13" x14ac:dyDescent="0.3">
      <c r="A173">
        <v>1015</v>
      </c>
      <c r="B173" t="s">
        <v>34</v>
      </c>
      <c r="C173" t="s">
        <v>35</v>
      </c>
      <c r="D173" t="s">
        <v>15</v>
      </c>
      <c r="E173" s="1">
        <v>43858</v>
      </c>
      <c r="F173">
        <v>11</v>
      </c>
      <c r="G173" t="s">
        <v>19</v>
      </c>
      <c r="H173">
        <v>329671</v>
      </c>
      <c r="I173">
        <v>14600</v>
      </c>
      <c r="J173">
        <v>22.58</v>
      </c>
      <c r="K173">
        <v>183569.72</v>
      </c>
      <c r="L173">
        <v>100504.25</v>
      </c>
      <c r="M173">
        <v>45597.03</v>
      </c>
    </row>
    <row r="174" spans="1:13" x14ac:dyDescent="0.3">
      <c r="A174">
        <v>1015</v>
      </c>
      <c r="B174" t="s">
        <v>34</v>
      </c>
      <c r="C174" t="s">
        <v>35</v>
      </c>
      <c r="D174" t="s">
        <v>15</v>
      </c>
      <c r="E174" s="1">
        <v>43858</v>
      </c>
      <c r="F174">
        <v>11</v>
      </c>
      <c r="G174" t="s">
        <v>20</v>
      </c>
      <c r="H174">
        <v>414349</v>
      </c>
      <c r="I174">
        <v>12066</v>
      </c>
      <c r="J174">
        <v>34.340000000000003</v>
      </c>
      <c r="K174">
        <v>210666.36</v>
      </c>
      <c r="L174">
        <v>181823.77</v>
      </c>
      <c r="M174">
        <v>21858.87</v>
      </c>
    </row>
    <row r="175" spans="1:13" x14ac:dyDescent="0.3">
      <c r="A175">
        <v>1015</v>
      </c>
      <c r="B175" t="s">
        <v>34</v>
      </c>
      <c r="C175" t="s">
        <v>35</v>
      </c>
      <c r="D175" t="s">
        <v>15</v>
      </c>
      <c r="E175" s="1">
        <v>43858</v>
      </c>
      <c r="F175">
        <v>11</v>
      </c>
      <c r="G175" t="s">
        <v>21</v>
      </c>
      <c r="H175">
        <v>1329447</v>
      </c>
      <c r="I175">
        <v>4680</v>
      </c>
      <c r="J175">
        <v>284.07</v>
      </c>
      <c r="K175">
        <v>830298.08</v>
      </c>
      <c r="L175">
        <v>484999.34</v>
      </c>
      <c r="M175">
        <v>14149.58</v>
      </c>
    </row>
    <row r="176" spans="1:13" x14ac:dyDescent="0.3">
      <c r="A176">
        <v>1015</v>
      </c>
      <c r="B176" t="s">
        <v>34</v>
      </c>
      <c r="C176" t="s">
        <v>35</v>
      </c>
      <c r="D176" t="s">
        <v>15</v>
      </c>
      <c r="E176" s="1">
        <v>43858</v>
      </c>
      <c r="F176">
        <v>11</v>
      </c>
      <c r="G176" t="s">
        <v>22</v>
      </c>
      <c r="H176">
        <v>1284396</v>
      </c>
      <c r="I176">
        <v>10843</v>
      </c>
      <c r="J176">
        <v>118.45</v>
      </c>
      <c r="K176">
        <v>691125.47</v>
      </c>
      <c r="L176">
        <v>368458.19</v>
      </c>
      <c r="M176">
        <v>224812.34</v>
      </c>
    </row>
    <row r="177" spans="1:13" x14ac:dyDescent="0.3">
      <c r="A177">
        <v>1015</v>
      </c>
      <c r="B177" t="s">
        <v>34</v>
      </c>
      <c r="C177" t="s">
        <v>35</v>
      </c>
      <c r="D177" t="s">
        <v>15</v>
      </c>
      <c r="E177" s="1">
        <v>43858</v>
      </c>
      <c r="F177">
        <v>11</v>
      </c>
      <c r="G177" t="s">
        <v>23</v>
      </c>
      <c r="H177">
        <v>407744</v>
      </c>
      <c r="I177">
        <v>7136</v>
      </c>
      <c r="J177">
        <v>57.14</v>
      </c>
      <c r="K177">
        <v>260227.41</v>
      </c>
      <c r="L177">
        <v>140894.24</v>
      </c>
      <c r="M177">
        <v>6622.35</v>
      </c>
    </row>
    <row r="178" spans="1:13" x14ac:dyDescent="0.3">
      <c r="A178">
        <v>1015</v>
      </c>
      <c r="B178" t="s">
        <v>34</v>
      </c>
      <c r="C178" t="s">
        <v>35</v>
      </c>
      <c r="D178" t="s">
        <v>15</v>
      </c>
      <c r="E178" s="1">
        <v>43858</v>
      </c>
      <c r="F178">
        <v>11</v>
      </c>
      <c r="G178" t="s">
        <v>24</v>
      </c>
      <c r="H178">
        <v>437035</v>
      </c>
      <c r="I178">
        <v>9565</v>
      </c>
      <c r="J178">
        <v>45.69</v>
      </c>
      <c r="K178">
        <v>239647.84</v>
      </c>
      <c r="L178">
        <v>159694.44</v>
      </c>
      <c r="M178">
        <v>37692.720000000001</v>
      </c>
    </row>
    <row r="179" spans="1:13" x14ac:dyDescent="0.3">
      <c r="A179">
        <v>1015</v>
      </c>
      <c r="B179" t="s">
        <v>34</v>
      </c>
      <c r="C179" t="s">
        <v>35</v>
      </c>
      <c r="D179" t="s">
        <v>15</v>
      </c>
      <c r="E179" s="1">
        <v>43858</v>
      </c>
      <c r="F179">
        <v>11</v>
      </c>
      <c r="G179" t="s">
        <v>25</v>
      </c>
      <c r="H179">
        <v>412426</v>
      </c>
      <c r="I179">
        <v>5485</v>
      </c>
      <c r="J179">
        <v>75.19</v>
      </c>
      <c r="K179">
        <v>197898.29</v>
      </c>
      <c r="L179">
        <v>149532.44</v>
      </c>
      <c r="M179">
        <v>64995.269999999902</v>
      </c>
    </row>
    <row r="180" spans="1:13" x14ac:dyDescent="0.3">
      <c r="A180">
        <v>1015</v>
      </c>
      <c r="B180" t="s">
        <v>34</v>
      </c>
      <c r="C180" t="s">
        <v>35</v>
      </c>
      <c r="D180" t="s">
        <v>15</v>
      </c>
      <c r="E180" s="1">
        <v>43858</v>
      </c>
      <c r="F180">
        <v>11</v>
      </c>
      <c r="G180" t="s">
        <v>26</v>
      </c>
      <c r="H180">
        <v>937189</v>
      </c>
      <c r="I180">
        <v>4395</v>
      </c>
      <c r="J180">
        <v>213.24</v>
      </c>
      <c r="K180">
        <v>608032.88</v>
      </c>
      <c r="L180">
        <v>256499.55</v>
      </c>
      <c r="M180">
        <v>72656.570000000007</v>
      </c>
    </row>
    <row r="181" spans="1:13" x14ac:dyDescent="0.3">
      <c r="A181">
        <v>1015</v>
      </c>
      <c r="B181" t="s">
        <v>34</v>
      </c>
      <c r="C181" t="s">
        <v>35</v>
      </c>
      <c r="D181" t="s">
        <v>15</v>
      </c>
      <c r="E181" s="1">
        <v>43858</v>
      </c>
      <c r="F181">
        <v>11</v>
      </c>
      <c r="G181" t="s">
        <v>27</v>
      </c>
      <c r="H181">
        <v>1172780</v>
      </c>
      <c r="I181">
        <v>12933</v>
      </c>
      <c r="J181">
        <v>90.68</v>
      </c>
      <c r="K181">
        <v>667576.13</v>
      </c>
      <c r="L181">
        <v>438248.74</v>
      </c>
      <c r="M181">
        <v>66955.13</v>
      </c>
    </row>
    <row r="182" spans="1:13" x14ac:dyDescent="0.3">
      <c r="A182">
        <v>1016</v>
      </c>
      <c r="B182" t="s">
        <v>36</v>
      </c>
      <c r="C182" t="s">
        <v>37</v>
      </c>
      <c r="D182" t="s">
        <v>31</v>
      </c>
      <c r="E182" s="1">
        <v>44388</v>
      </c>
      <c r="F182">
        <v>15</v>
      </c>
      <c r="G182" t="s">
        <v>16</v>
      </c>
      <c r="H182">
        <v>923594</v>
      </c>
      <c r="I182">
        <v>12642</v>
      </c>
      <c r="J182">
        <v>73.06</v>
      </c>
      <c r="K182">
        <v>598494.68999999994</v>
      </c>
      <c r="L182">
        <v>287307.96999999997</v>
      </c>
      <c r="M182">
        <v>37791.339999999997</v>
      </c>
    </row>
    <row r="183" spans="1:13" x14ac:dyDescent="0.3">
      <c r="A183">
        <v>1016</v>
      </c>
      <c r="B183" t="s">
        <v>36</v>
      </c>
      <c r="C183" t="s">
        <v>37</v>
      </c>
      <c r="D183" t="s">
        <v>31</v>
      </c>
      <c r="E183" s="1">
        <v>44388</v>
      </c>
      <c r="F183">
        <v>15</v>
      </c>
      <c r="G183" t="s">
        <v>17</v>
      </c>
      <c r="H183">
        <v>426312</v>
      </c>
      <c r="I183">
        <v>12988</v>
      </c>
      <c r="J183">
        <v>32.82</v>
      </c>
      <c r="K183">
        <v>273701.58</v>
      </c>
      <c r="L183">
        <v>115038.89</v>
      </c>
      <c r="M183">
        <v>37571.529999999897</v>
      </c>
    </row>
    <row r="184" spans="1:13" x14ac:dyDescent="0.3">
      <c r="A184">
        <v>1016</v>
      </c>
      <c r="B184" t="s">
        <v>36</v>
      </c>
      <c r="C184" t="s">
        <v>37</v>
      </c>
      <c r="D184" t="s">
        <v>31</v>
      </c>
      <c r="E184" s="1">
        <v>44388</v>
      </c>
      <c r="F184">
        <v>15</v>
      </c>
      <c r="G184" t="s">
        <v>18</v>
      </c>
      <c r="H184">
        <v>735762</v>
      </c>
      <c r="I184">
        <v>13248</v>
      </c>
      <c r="J184">
        <v>55.54</v>
      </c>
      <c r="K184">
        <v>362145.76</v>
      </c>
      <c r="L184">
        <v>281124.09000000003</v>
      </c>
      <c r="M184">
        <v>92492.149999999907</v>
      </c>
    </row>
    <row r="185" spans="1:13" x14ac:dyDescent="0.3">
      <c r="A185">
        <v>1016</v>
      </c>
      <c r="B185" t="s">
        <v>36</v>
      </c>
      <c r="C185" t="s">
        <v>37</v>
      </c>
      <c r="D185" t="s">
        <v>31</v>
      </c>
      <c r="E185" s="1">
        <v>44388</v>
      </c>
      <c r="F185">
        <v>15</v>
      </c>
      <c r="G185" t="s">
        <v>19</v>
      </c>
      <c r="H185">
        <v>629372</v>
      </c>
      <c r="I185">
        <v>6929</v>
      </c>
      <c r="J185">
        <v>90.83</v>
      </c>
      <c r="K185">
        <v>305096.08</v>
      </c>
      <c r="L185">
        <v>166791.75</v>
      </c>
      <c r="M185">
        <v>157484.16999999899</v>
      </c>
    </row>
    <row r="186" spans="1:13" x14ac:dyDescent="0.3">
      <c r="A186">
        <v>1016</v>
      </c>
      <c r="B186" t="s">
        <v>36</v>
      </c>
      <c r="C186" t="s">
        <v>37</v>
      </c>
      <c r="D186" t="s">
        <v>31</v>
      </c>
      <c r="E186" s="1">
        <v>44388</v>
      </c>
      <c r="F186">
        <v>15</v>
      </c>
      <c r="G186" t="s">
        <v>20</v>
      </c>
      <c r="H186">
        <v>305611</v>
      </c>
      <c r="I186">
        <v>9693</v>
      </c>
      <c r="J186">
        <v>31.53</v>
      </c>
      <c r="K186">
        <v>165060.73000000001</v>
      </c>
      <c r="L186">
        <v>112697.8</v>
      </c>
      <c r="M186">
        <v>27852.469999999899</v>
      </c>
    </row>
    <row r="187" spans="1:13" x14ac:dyDescent="0.3">
      <c r="A187">
        <v>1016</v>
      </c>
      <c r="B187" t="s">
        <v>36</v>
      </c>
      <c r="C187" t="s">
        <v>37</v>
      </c>
      <c r="D187" t="s">
        <v>31</v>
      </c>
      <c r="E187" s="1">
        <v>44388</v>
      </c>
      <c r="F187">
        <v>15</v>
      </c>
      <c r="G187" t="s">
        <v>21</v>
      </c>
      <c r="H187">
        <v>910815</v>
      </c>
      <c r="I187">
        <v>3534</v>
      </c>
      <c r="J187">
        <v>257.73</v>
      </c>
      <c r="K187">
        <v>452033.16</v>
      </c>
      <c r="L187">
        <v>356484.94</v>
      </c>
      <c r="M187">
        <v>102296.9</v>
      </c>
    </row>
    <row r="188" spans="1:13" x14ac:dyDescent="0.3">
      <c r="A188">
        <v>1016</v>
      </c>
      <c r="B188" t="s">
        <v>36</v>
      </c>
      <c r="C188" t="s">
        <v>37</v>
      </c>
      <c r="D188" t="s">
        <v>31</v>
      </c>
      <c r="E188" s="1">
        <v>44388</v>
      </c>
      <c r="F188">
        <v>15</v>
      </c>
      <c r="G188" t="s">
        <v>22</v>
      </c>
      <c r="H188">
        <v>1252172</v>
      </c>
      <c r="I188">
        <v>4166</v>
      </c>
      <c r="J188">
        <v>300.57</v>
      </c>
      <c r="K188">
        <v>735622.23</v>
      </c>
      <c r="L188">
        <v>544422.11</v>
      </c>
      <c r="M188">
        <v>-27872.339999999898</v>
      </c>
    </row>
    <row r="189" spans="1:13" x14ac:dyDescent="0.3">
      <c r="A189">
        <v>1016</v>
      </c>
      <c r="B189" t="s">
        <v>36</v>
      </c>
      <c r="C189" t="s">
        <v>37</v>
      </c>
      <c r="D189" t="s">
        <v>31</v>
      </c>
      <c r="E189" s="1">
        <v>44388</v>
      </c>
      <c r="F189">
        <v>15</v>
      </c>
      <c r="G189" t="s">
        <v>23</v>
      </c>
      <c r="H189">
        <v>714856</v>
      </c>
      <c r="I189">
        <v>9965</v>
      </c>
      <c r="J189">
        <v>71.739999999999995</v>
      </c>
      <c r="K189">
        <v>338094.91</v>
      </c>
      <c r="L189">
        <v>210855.28</v>
      </c>
      <c r="M189">
        <v>165905.81</v>
      </c>
    </row>
    <row r="190" spans="1:13" x14ac:dyDescent="0.3">
      <c r="A190">
        <v>1016</v>
      </c>
      <c r="B190" t="s">
        <v>36</v>
      </c>
      <c r="C190" t="s">
        <v>37</v>
      </c>
      <c r="D190" t="s">
        <v>31</v>
      </c>
      <c r="E190" s="1">
        <v>44388</v>
      </c>
      <c r="F190">
        <v>15</v>
      </c>
      <c r="G190" t="s">
        <v>24</v>
      </c>
      <c r="H190">
        <v>612453</v>
      </c>
      <c r="I190">
        <v>7352</v>
      </c>
      <c r="J190">
        <v>83.3</v>
      </c>
      <c r="K190">
        <v>376858.4</v>
      </c>
      <c r="L190">
        <v>161860.28</v>
      </c>
      <c r="M190">
        <v>73734.319999999905</v>
      </c>
    </row>
    <row r="191" spans="1:13" x14ac:dyDescent="0.3">
      <c r="A191">
        <v>1016</v>
      </c>
      <c r="B191" t="s">
        <v>36</v>
      </c>
      <c r="C191" t="s">
        <v>37</v>
      </c>
      <c r="D191" t="s">
        <v>31</v>
      </c>
      <c r="E191" s="1">
        <v>44388</v>
      </c>
      <c r="F191">
        <v>15</v>
      </c>
      <c r="G191" t="s">
        <v>25</v>
      </c>
      <c r="H191">
        <v>647965</v>
      </c>
      <c r="I191">
        <v>8039</v>
      </c>
      <c r="J191">
        <v>80.599999999999994</v>
      </c>
      <c r="K191">
        <v>368697.79</v>
      </c>
      <c r="L191">
        <v>268807.02</v>
      </c>
      <c r="M191">
        <v>10460.19</v>
      </c>
    </row>
    <row r="192" spans="1:13" x14ac:dyDescent="0.3">
      <c r="A192">
        <v>1016</v>
      </c>
      <c r="B192" t="s">
        <v>36</v>
      </c>
      <c r="C192" t="s">
        <v>37</v>
      </c>
      <c r="D192" t="s">
        <v>31</v>
      </c>
      <c r="E192" s="1">
        <v>44388</v>
      </c>
      <c r="F192">
        <v>15</v>
      </c>
      <c r="G192" t="s">
        <v>26</v>
      </c>
      <c r="H192">
        <v>905260</v>
      </c>
      <c r="I192">
        <v>10195</v>
      </c>
      <c r="J192">
        <v>88.79</v>
      </c>
      <c r="K192">
        <v>429881.48</v>
      </c>
      <c r="L192">
        <v>351001.53</v>
      </c>
      <c r="M192">
        <v>124376.989999999</v>
      </c>
    </row>
    <row r="193" spans="1:13" x14ac:dyDescent="0.3">
      <c r="A193">
        <v>1016</v>
      </c>
      <c r="B193" t="s">
        <v>36</v>
      </c>
      <c r="C193" t="s">
        <v>37</v>
      </c>
      <c r="D193" t="s">
        <v>31</v>
      </c>
      <c r="E193" s="1">
        <v>44388</v>
      </c>
      <c r="F193">
        <v>15</v>
      </c>
      <c r="G193" t="s">
        <v>27</v>
      </c>
      <c r="H193">
        <v>1144121</v>
      </c>
      <c r="I193">
        <v>7460</v>
      </c>
      <c r="J193">
        <v>153.37</v>
      </c>
      <c r="K193">
        <v>629374.6</v>
      </c>
      <c r="L193">
        <v>399022.55</v>
      </c>
      <c r="M193">
        <v>115723.85</v>
      </c>
    </row>
    <row r="194" spans="1:13" x14ac:dyDescent="0.3">
      <c r="A194">
        <v>1017</v>
      </c>
      <c r="B194" t="s">
        <v>36</v>
      </c>
      <c r="C194" t="s">
        <v>37</v>
      </c>
      <c r="D194" t="s">
        <v>15</v>
      </c>
      <c r="E194" s="1">
        <v>44690</v>
      </c>
      <c r="F194">
        <v>8</v>
      </c>
      <c r="G194" t="s">
        <v>16</v>
      </c>
      <c r="H194">
        <v>1206029</v>
      </c>
      <c r="I194">
        <v>8280</v>
      </c>
      <c r="J194">
        <v>145.66</v>
      </c>
      <c r="K194">
        <v>688332.28</v>
      </c>
      <c r="L194">
        <v>307746.01</v>
      </c>
      <c r="M194">
        <v>209950.709999999</v>
      </c>
    </row>
    <row r="195" spans="1:13" x14ac:dyDescent="0.3">
      <c r="A195">
        <v>1017</v>
      </c>
      <c r="B195" t="s">
        <v>36</v>
      </c>
      <c r="C195" t="s">
        <v>37</v>
      </c>
      <c r="D195" t="s">
        <v>15</v>
      </c>
      <c r="E195" s="1">
        <v>44690</v>
      </c>
      <c r="F195">
        <v>8</v>
      </c>
      <c r="G195" t="s">
        <v>17</v>
      </c>
      <c r="H195">
        <v>780089</v>
      </c>
      <c r="I195">
        <v>14047</v>
      </c>
      <c r="J195">
        <v>55.53</v>
      </c>
      <c r="K195">
        <v>481464.47</v>
      </c>
      <c r="L195">
        <v>284763.55</v>
      </c>
      <c r="M195">
        <v>13860.98</v>
      </c>
    </row>
    <row r="196" spans="1:13" x14ac:dyDescent="0.3">
      <c r="A196">
        <v>1017</v>
      </c>
      <c r="B196" t="s">
        <v>36</v>
      </c>
      <c r="C196" t="s">
        <v>37</v>
      </c>
      <c r="D196" t="s">
        <v>15</v>
      </c>
      <c r="E196" s="1">
        <v>44690</v>
      </c>
      <c r="F196">
        <v>8</v>
      </c>
      <c r="G196" t="s">
        <v>18</v>
      </c>
      <c r="H196">
        <v>343506</v>
      </c>
      <c r="I196">
        <v>14014</v>
      </c>
      <c r="J196">
        <v>24.51</v>
      </c>
      <c r="K196">
        <v>211010.33</v>
      </c>
      <c r="L196">
        <v>125465.36</v>
      </c>
      <c r="M196">
        <v>7030.3100000000104</v>
      </c>
    </row>
    <row r="197" spans="1:13" x14ac:dyDescent="0.3">
      <c r="A197">
        <v>1017</v>
      </c>
      <c r="B197" t="s">
        <v>36</v>
      </c>
      <c r="C197" t="s">
        <v>37</v>
      </c>
      <c r="D197" t="s">
        <v>15</v>
      </c>
      <c r="E197" s="1">
        <v>44690</v>
      </c>
      <c r="F197">
        <v>8</v>
      </c>
      <c r="G197" t="s">
        <v>19</v>
      </c>
      <c r="H197">
        <v>667401</v>
      </c>
      <c r="I197">
        <v>10708</v>
      </c>
      <c r="J197">
        <v>62.33</v>
      </c>
      <c r="K197">
        <v>369601.85</v>
      </c>
      <c r="L197">
        <v>225879.12</v>
      </c>
      <c r="M197">
        <v>71920.03</v>
      </c>
    </row>
    <row r="198" spans="1:13" x14ac:dyDescent="0.3">
      <c r="A198">
        <v>1017</v>
      </c>
      <c r="B198" t="s">
        <v>36</v>
      </c>
      <c r="C198" t="s">
        <v>37</v>
      </c>
      <c r="D198" t="s">
        <v>15</v>
      </c>
      <c r="E198" s="1">
        <v>44690</v>
      </c>
      <c r="F198">
        <v>8</v>
      </c>
      <c r="G198" t="s">
        <v>20</v>
      </c>
      <c r="H198">
        <v>883336</v>
      </c>
      <c r="I198">
        <v>5973</v>
      </c>
      <c r="J198">
        <v>147.88999999999999</v>
      </c>
      <c r="K198">
        <v>573628.77</v>
      </c>
      <c r="L198">
        <v>297840.58</v>
      </c>
      <c r="M198">
        <v>11866.6499999999</v>
      </c>
    </row>
    <row r="199" spans="1:13" x14ac:dyDescent="0.3">
      <c r="A199">
        <v>1017</v>
      </c>
      <c r="B199" t="s">
        <v>36</v>
      </c>
      <c r="C199" t="s">
        <v>37</v>
      </c>
      <c r="D199" t="s">
        <v>15</v>
      </c>
      <c r="E199" s="1">
        <v>44690</v>
      </c>
      <c r="F199">
        <v>8</v>
      </c>
      <c r="G199" t="s">
        <v>21</v>
      </c>
      <c r="H199">
        <v>1331223</v>
      </c>
      <c r="I199">
        <v>4494</v>
      </c>
      <c r="J199">
        <v>296.22000000000003</v>
      </c>
      <c r="K199">
        <v>724188.08</v>
      </c>
      <c r="L199">
        <v>441526.22</v>
      </c>
      <c r="M199">
        <v>165508.70000000001</v>
      </c>
    </row>
    <row r="200" spans="1:13" x14ac:dyDescent="0.3">
      <c r="A200">
        <v>1017</v>
      </c>
      <c r="B200" t="s">
        <v>36</v>
      </c>
      <c r="C200" t="s">
        <v>37</v>
      </c>
      <c r="D200" t="s">
        <v>15</v>
      </c>
      <c r="E200" s="1">
        <v>44690</v>
      </c>
      <c r="F200">
        <v>8</v>
      </c>
      <c r="G200" t="s">
        <v>22</v>
      </c>
      <c r="H200">
        <v>973307</v>
      </c>
      <c r="I200">
        <v>13979</v>
      </c>
      <c r="J200">
        <v>69.63</v>
      </c>
      <c r="K200">
        <v>458349.71</v>
      </c>
      <c r="L200">
        <v>274633.14</v>
      </c>
      <c r="M200">
        <v>240324.149999999</v>
      </c>
    </row>
    <row r="201" spans="1:13" x14ac:dyDescent="0.3">
      <c r="A201">
        <v>1017</v>
      </c>
      <c r="B201" t="s">
        <v>36</v>
      </c>
      <c r="C201" t="s">
        <v>37</v>
      </c>
      <c r="D201" t="s">
        <v>15</v>
      </c>
      <c r="E201" s="1">
        <v>44690</v>
      </c>
      <c r="F201">
        <v>8</v>
      </c>
      <c r="G201" t="s">
        <v>23</v>
      </c>
      <c r="H201">
        <v>1163282</v>
      </c>
      <c r="I201">
        <v>14365</v>
      </c>
      <c r="J201">
        <v>80.98</v>
      </c>
      <c r="K201">
        <v>638750.93999999994</v>
      </c>
      <c r="L201">
        <v>444974.8</v>
      </c>
      <c r="M201">
        <v>79556.259999999995</v>
      </c>
    </row>
    <row r="202" spans="1:13" x14ac:dyDescent="0.3">
      <c r="A202">
        <v>1017</v>
      </c>
      <c r="B202" t="s">
        <v>36</v>
      </c>
      <c r="C202" t="s">
        <v>37</v>
      </c>
      <c r="D202" t="s">
        <v>15</v>
      </c>
      <c r="E202" s="1">
        <v>44690</v>
      </c>
      <c r="F202">
        <v>8</v>
      </c>
      <c r="G202" t="s">
        <v>24</v>
      </c>
      <c r="H202">
        <v>1139809</v>
      </c>
      <c r="I202">
        <v>12012</v>
      </c>
      <c r="J202">
        <v>94.89</v>
      </c>
      <c r="K202">
        <v>521279.59</v>
      </c>
      <c r="L202">
        <v>305026.52</v>
      </c>
      <c r="M202">
        <v>313502.88999999902</v>
      </c>
    </row>
    <row r="203" spans="1:13" x14ac:dyDescent="0.3">
      <c r="A203">
        <v>1017</v>
      </c>
      <c r="B203" t="s">
        <v>36</v>
      </c>
      <c r="C203" t="s">
        <v>37</v>
      </c>
      <c r="D203" t="s">
        <v>15</v>
      </c>
      <c r="E203" s="1">
        <v>44690</v>
      </c>
      <c r="F203">
        <v>8</v>
      </c>
      <c r="G203" t="s">
        <v>25</v>
      </c>
      <c r="H203">
        <v>829318</v>
      </c>
      <c r="I203">
        <v>8296</v>
      </c>
      <c r="J203">
        <v>99.97</v>
      </c>
      <c r="K203">
        <v>392420.27</v>
      </c>
      <c r="L203">
        <v>335467.08</v>
      </c>
      <c r="M203">
        <v>101430.649999999</v>
      </c>
    </row>
    <row r="204" spans="1:13" x14ac:dyDescent="0.3">
      <c r="A204">
        <v>1017</v>
      </c>
      <c r="B204" t="s">
        <v>36</v>
      </c>
      <c r="C204" t="s">
        <v>37</v>
      </c>
      <c r="D204" t="s">
        <v>15</v>
      </c>
      <c r="E204" s="1">
        <v>44690</v>
      </c>
      <c r="F204">
        <v>8</v>
      </c>
      <c r="G204" t="s">
        <v>26</v>
      </c>
      <c r="H204">
        <v>1379186</v>
      </c>
      <c r="I204">
        <v>3018</v>
      </c>
      <c r="J204">
        <v>456.99</v>
      </c>
      <c r="K204">
        <v>802040.9</v>
      </c>
      <c r="L204">
        <v>494464</v>
      </c>
      <c r="M204">
        <v>82681.099999999904</v>
      </c>
    </row>
    <row r="205" spans="1:13" x14ac:dyDescent="0.3">
      <c r="A205">
        <v>1017</v>
      </c>
      <c r="B205" t="s">
        <v>36</v>
      </c>
      <c r="C205" t="s">
        <v>37</v>
      </c>
      <c r="D205" t="s">
        <v>15</v>
      </c>
      <c r="E205" s="1">
        <v>44690</v>
      </c>
      <c r="F205">
        <v>8</v>
      </c>
      <c r="G205" t="s">
        <v>27</v>
      </c>
      <c r="H205">
        <v>1166642</v>
      </c>
      <c r="I205">
        <v>3888</v>
      </c>
      <c r="J205">
        <v>300.06</v>
      </c>
      <c r="K205">
        <v>568757.23</v>
      </c>
      <c r="L205">
        <v>376073.9</v>
      </c>
      <c r="M205">
        <v>221810.87</v>
      </c>
    </row>
    <row r="206" spans="1:13" x14ac:dyDescent="0.3">
      <c r="A206">
        <v>1018</v>
      </c>
      <c r="B206" t="s">
        <v>36</v>
      </c>
      <c r="C206" t="s">
        <v>37</v>
      </c>
      <c r="D206" t="s">
        <v>31</v>
      </c>
      <c r="E206" s="1">
        <v>44746</v>
      </c>
      <c r="F206">
        <v>15</v>
      </c>
      <c r="G206" t="s">
        <v>16</v>
      </c>
      <c r="H206">
        <v>408237</v>
      </c>
      <c r="I206">
        <v>6335</v>
      </c>
      <c r="J206">
        <v>64.44</v>
      </c>
      <c r="K206">
        <v>205511.1</v>
      </c>
      <c r="L206">
        <v>112756.14</v>
      </c>
      <c r="M206">
        <v>89969.76</v>
      </c>
    </row>
    <row r="207" spans="1:13" x14ac:dyDescent="0.3">
      <c r="A207">
        <v>1018</v>
      </c>
      <c r="B207" t="s">
        <v>36</v>
      </c>
      <c r="C207" t="s">
        <v>37</v>
      </c>
      <c r="D207" t="s">
        <v>31</v>
      </c>
      <c r="E207" s="1">
        <v>44746</v>
      </c>
      <c r="F207">
        <v>15</v>
      </c>
      <c r="G207" t="s">
        <v>17</v>
      </c>
      <c r="H207">
        <v>904040</v>
      </c>
      <c r="I207">
        <v>10178</v>
      </c>
      <c r="J207">
        <v>88.82</v>
      </c>
      <c r="K207">
        <v>566082.12</v>
      </c>
      <c r="L207">
        <v>313649.77</v>
      </c>
      <c r="M207">
        <v>24308.109999999899</v>
      </c>
    </row>
    <row r="208" spans="1:13" x14ac:dyDescent="0.3">
      <c r="A208">
        <v>1018</v>
      </c>
      <c r="B208" t="s">
        <v>36</v>
      </c>
      <c r="C208" t="s">
        <v>37</v>
      </c>
      <c r="D208" t="s">
        <v>31</v>
      </c>
      <c r="E208" s="1">
        <v>44746</v>
      </c>
      <c r="F208">
        <v>15</v>
      </c>
      <c r="G208" t="s">
        <v>18</v>
      </c>
      <c r="H208">
        <v>360543</v>
      </c>
      <c r="I208">
        <v>13322</v>
      </c>
      <c r="J208">
        <v>27.06</v>
      </c>
      <c r="K208">
        <v>206149.23</v>
      </c>
      <c r="L208">
        <v>107391.15</v>
      </c>
      <c r="M208">
        <v>47002.619999999901</v>
      </c>
    </row>
    <row r="209" spans="1:13" x14ac:dyDescent="0.3">
      <c r="A209">
        <v>1018</v>
      </c>
      <c r="B209" t="s">
        <v>36</v>
      </c>
      <c r="C209" t="s">
        <v>37</v>
      </c>
      <c r="D209" t="s">
        <v>31</v>
      </c>
      <c r="E209" s="1">
        <v>44746</v>
      </c>
      <c r="F209">
        <v>15</v>
      </c>
      <c r="G209" t="s">
        <v>19</v>
      </c>
      <c r="H209">
        <v>632143</v>
      </c>
      <c r="I209">
        <v>8091</v>
      </c>
      <c r="J209">
        <v>78.13</v>
      </c>
      <c r="K209">
        <v>354106.15</v>
      </c>
      <c r="L209">
        <v>227856.12</v>
      </c>
      <c r="M209">
        <v>50180.729999999901</v>
      </c>
    </row>
    <row r="210" spans="1:13" x14ac:dyDescent="0.3">
      <c r="A210">
        <v>1018</v>
      </c>
      <c r="B210" t="s">
        <v>36</v>
      </c>
      <c r="C210" t="s">
        <v>37</v>
      </c>
      <c r="D210" t="s">
        <v>31</v>
      </c>
      <c r="E210" s="1">
        <v>44746</v>
      </c>
      <c r="F210">
        <v>15</v>
      </c>
      <c r="G210" t="s">
        <v>20</v>
      </c>
      <c r="H210">
        <v>495473</v>
      </c>
      <c r="I210">
        <v>6681</v>
      </c>
      <c r="J210">
        <v>74.16</v>
      </c>
      <c r="K210">
        <v>321290.17</v>
      </c>
      <c r="L210">
        <v>214334.67</v>
      </c>
      <c r="M210">
        <v>-40151.839999999997</v>
      </c>
    </row>
    <row r="211" spans="1:13" x14ac:dyDescent="0.3">
      <c r="A211">
        <v>1018</v>
      </c>
      <c r="B211" t="s">
        <v>36</v>
      </c>
      <c r="C211" t="s">
        <v>37</v>
      </c>
      <c r="D211" t="s">
        <v>31</v>
      </c>
      <c r="E211" s="1">
        <v>44746</v>
      </c>
      <c r="F211">
        <v>15</v>
      </c>
      <c r="G211" t="s">
        <v>21</v>
      </c>
      <c r="H211">
        <v>1267726</v>
      </c>
      <c r="I211">
        <v>4924</v>
      </c>
      <c r="J211">
        <v>257.45999999999998</v>
      </c>
      <c r="K211">
        <v>734700.38</v>
      </c>
      <c r="L211">
        <v>355970.14</v>
      </c>
      <c r="M211">
        <v>177055.47999999899</v>
      </c>
    </row>
    <row r="212" spans="1:13" x14ac:dyDescent="0.3">
      <c r="A212">
        <v>1018</v>
      </c>
      <c r="B212" t="s">
        <v>36</v>
      </c>
      <c r="C212" t="s">
        <v>37</v>
      </c>
      <c r="D212" t="s">
        <v>31</v>
      </c>
      <c r="E212" s="1">
        <v>44746</v>
      </c>
      <c r="F212">
        <v>15</v>
      </c>
      <c r="G212" t="s">
        <v>22</v>
      </c>
      <c r="H212">
        <v>912078</v>
      </c>
      <c r="I212">
        <v>11337</v>
      </c>
      <c r="J212">
        <v>80.45</v>
      </c>
      <c r="K212">
        <v>539113.18999999994</v>
      </c>
      <c r="L212">
        <v>303811.42</v>
      </c>
      <c r="M212">
        <v>69153.39</v>
      </c>
    </row>
    <row r="213" spans="1:13" x14ac:dyDescent="0.3">
      <c r="A213">
        <v>1018</v>
      </c>
      <c r="B213" t="s">
        <v>36</v>
      </c>
      <c r="C213" t="s">
        <v>37</v>
      </c>
      <c r="D213" t="s">
        <v>31</v>
      </c>
      <c r="E213" s="1">
        <v>44746</v>
      </c>
      <c r="F213">
        <v>15</v>
      </c>
      <c r="G213" t="s">
        <v>23</v>
      </c>
      <c r="H213">
        <v>1311874</v>
      </c>
      <c r="I213">
        <v>10736</v>
      </c>
      <c r="J213">
        <v>122.19</v>
      </c>
      <c r="K213">
        <v>654292.15</v>
      </c>
      <c r="L213">
        <v>472606.56</v>
      </c>
      <c r="M213">
        <v>184975.28999999899</v>
      </c>
    </row>
    <row r="214" spans="1:13" x14ac:dyDescent="0.3">
      <c r="A214">
        <v>1018</v>
      </c>
      <c r="B214" t="s">
        <v>36</v>
      </c>
      <c r="C214" t="s">
        <v>37</v>
      </c>
      <c r="D214" t="s">
        <v>31</v>
      </c>
      <c r="E214" s="1">
        <v>44746</v>
      </c>
      <c r="F214">
        <v>15</v>
      </c>
      <c r="G214" t="s">
        <v>24</v>
      </c>
      <c r="H214">
        <v>1104438</v>
      </c>
      <c r="I214">
        <v>6122</v>
      </c>
      <c r="J214">
        <v>180.4</v>
      </c>
      <c r="K214">
        <v>700626.34</v>
      </c>
      <c r="L214">
        <v>388373.61</v>
      </c>
      <c r="M214">
        <v>15438.05</v>
      </c>
    </row>
    <row r="215" spans="1:13" x14ac:dyDescent="0.3">
      <c r="A215">
        <v>1018</v>
      </c>
      <c r="B215" t="s">
        <v>36</v>
      </c>
      <c r="C215" t="s">
        <v>37</v>
      </c>
      <c r="D215" t="s">
        <v>31</v>
      </c>
      <c r="E215" s="1">
        <v>44746</v>
      </c>
      <c r="F215">
        <v>15</v>
      </c>
      <c r="G215" t="s">
        <v>25</v>
      </c>
      <c r="H215">
        <v>586278</v>
      </c>
      <c r="I215">
        <v>4143</v>
      </c>
      <c r="J215">
        <v>141.51</v>
      </c>
      <c r="K215">
        <v>296216.65000000002</v>
      </c>
      <c r="L215">
        <v>239202.15</v>
      </c>
      <c r="M215">
        <v>50859.199999999903</v>
      </c>
    </row>
    <row r="216" spans="1:13" x14ac:dyDescent="0.3">
      <c r="A216">
        <v>1018</v>
      </c>
      <c r="B216" t="s">
        <v>36</v>
      </c>
      <c r="C216" t="s">
        <v>37</v>
      </c>
      <c r="D216" t="s">
        <v>31</v>
      </c>
      <c r="E216" s="1">
        <v>44746</v>
      </c>
      <c r="F216">
        <v>15</v>
      </c>
      <c r="G216" t="s">
        <v>26</v>
      </c>
      <c r="H216">
        <v>1170197</v>
      </c>
      <c r="I216">
        <v>8568</v>
      </c>
      <c r="J216">
        <v>136.58000000000001</v>
      </c>
      <c r="K216">
        <v>745239.58</v>
      </c>
      <c r="L216">
        <v>411379.87</v>
      </c>
      <c r="M216">
        <v>13577.55</v>
      </c>
    </row>
    <row r="217" spans="1:13" x14ac:dyDescent="0.3">
      <c r="A217">
        <v>1018</v>
      </c>
      <c r="B217" t="s">
        <v>36</v>
      </c>
      <c r="C217" t="s">
        <v>37</v>
      </c>
      <c r="D217" t="s">
        <v>31</v>
      </c>
      <c r="E217" s="1">
        <v>44746</v>
      </c>
      <c r="F217">
        <v>15</v>
      </c>
      <c r="G217" t="s">
        <v>27</v>
      </c>
      <c r="H217">
        <v>305379</v>
      </c>
      <c r="I217">
        <v>7634</v>
      </c>
      <c r="J217">
        <v>40</v>
      </c>
      <c r="K217">
        <v>181764.69</v>
      </c>
      <c r="L217">
        <v>127494.26</v>
      </c>
      <c r="M217">
        <v>-3879.9499999999898</v>
      </c>
    </row>
    <row r="218" spans="1:13" x14ac:dyDescent="0.3">
      <c r="A218">
        <v>1019</v>
      </c>
      <c r="B218" t="s">
        <v>38</v>
      </c>
      <c r="C218" t="s">
        <v>14</v>
      </c>
      <c r="D218" t="s">
        <v>31</v>
      </c>
      <c r="E218" s="1">
        <v>45238</v>
      </c>
      <c r="F218">
        <v>10</v>
      </c>
      <c r="G218" t="s">
        <v>16</v>
      </c>
      <c r="H218">
        <v>1236477</v>
      </c>
      <c r="I218">
        <v>11824</v>
      </c>
      <c r="J218">
        <v>104.57</v>
      </c>
      <c r="K218">
        <v>676190.05</v>
      </c>
      <c r="L218">
        <v>391330.12</v>
      </c>
      <c r="M218">
        <v>168956.829999999</v>
      </c>
    </row>
    <row r="219" spans="1:13" x14ac:dyDescent="0.3">
      <c r="A219">
        <v>1019</v>
      </c>
      <c r="B219" t="s">
        <v>38</v>
      </c>
      <c r="C219" t="s">
        <v>14</v>
      </c>
      <c r="D219" t="s">
        <v>31</v>
      </c>
      <c r="E219" s="1">
        <v>45238</v>
      </c>
      <c r="F219">
        <v>10</v>
      </c>
      <c r="G219" t="s">
        <v>17</v>
      </c>
      <c r="H219">
        <v>1439655</v>
      </c>
      <c r="I219">
        <v>9180</v>
      </c>
      <c r="J219">
        <v>156.83000000000001</v>
      </c>
      <c r="K219">
        <v>778952.58</v>
      </c>
      <c r="L219">
        <v>452563.42</v>
      </c>
      <c r="M219">
        <v>208139</v>
      </c>
    </row>
    <row r="220" spans="1:13" x14ac:dyDescent="0.3">
      <c r="A220">
        <v>1019</v>
      </c>
      <c r="B220" t="s">
        <v>38</v>
      </c>
      <c r="C220" t="s">
        <v>14</v>
      </c>
      <c r="D220" t="s">
        <v>31</v>
      </c>
      <c r="E220" s="1">
        <v>45238</v>
      </c>
      <c r="F220">
        <v>10</v>
      </c>
      <c r="G220" t="s">
        <v>18</v>
      </c>
      <c r="H220">
        <v>695632</v>
      </c>
      <c r="I220">
        <v>14427</v>
      </c>
      <c r="J220">
        <v>48.22</v>
      </c>
      <c r="K220">
        <v>346258.56</v>
      </c>
      <c r="L220">
        <v>227189.36</v>
      </c>
      <c r="M220">
        <v>122184.08</v>
      </c>
    </row>
    <row r="221" spans="1:13" x14ac:dyDescent="0.3">
      <c r="A221">
        <v>1019</v>
      </c>
      <c r="B221" t="s">
        <v>38</v>
      </c>
      <c r="C221" t="s">
        <v>14</v>
      </c>
      <c r="D221" t="s">
        <v>31</v>
      </c>
      <c r="E221" s="1">
        <v>45238</v>
      </c>
      <c r="F221">
        <v>10</v>
      </c>
      <c r="G221" t="s">
        <v>19</v>
      </c>
      <c r="H221">
        <v>1161457</v>
      </c>
      <c r="I221">
        <v>3715</v>
      </c>
      <c r="J221">
        <v>312.64</v>
      </c>
      <c r="K221">
        <v>596565.27</v>
      </c>
      <c r="L221">
        <v>400232.57</v>
      </c>
      <c r="M221">
        <v>164659.15999999901</v>
      </c>
    </row>
    <row r="222" spans="1:13" x14ac:dyDescent="0.3">
      <c r="A222">
        <v>1019</v>
      </c>
      <c r="B222" t="s">
        <v>38</v>
      </c>
      <c r="C222" t="s">
        <v>14</v>
      </c>
      <c r="D222" t="s">
        <v>31</v>
      </c>
      <c r="E222" s="1">
        <v>45238</v>
      </c>
      <c r="F222">
        <v>10</v>
      </c>
      <c r="G222" t="s">
        <v>20</v>
      </c>
      <c r="H222">
        <v>1099499</v>
      </c>
      <c r="I222">
        <v>9325</v>
      </c>
      <c r="J222">
        <v>117.91</v>
      </c>
      <c r="K222">
        <v>712126.59</v>
      </c>
      <c r="L222">
        <v>449121.96</v>
      </c>
      <c r="M222">
        <v>-61749.549999999901</v>
      </c>
    </row>
    <row r="223" spans="1:13" x14ac:dyDescent="0.3">
      <c r="A223">
        <v>1019</v>
      </c>
      <c r="B223" t="s">
        <v>38</v>
      </c>
      <c r="C223" t="s">
        <v>14</v>
      </c>
      <c r="D223" t="s">
        <v>31</v>
      </c>
      <c r="E223" s="1">
        <v>45238</v>
      </c>
      <c r="F223">
        <v>10</v>
      </c>
      <c r="G223" t="s">
        <v>21</v>
      </c>
      <c r="H223">
        <v>618987</v>
      </c>
      <c r="I223">
        <v>11115</v>
      </c>
      <c r="J223">
        <v>55.69</v>
      </c>
      <c r="K223">
        <v>397986.91</v>
      </c>
      <c r="L223">
        <v>170375.71</v>
      </c>
      <c r="M223">
        <v>50624.38</v>
      </c>
    </row>
    <row r="224" spans="1:13" x14ac:dyDescent="0.3">
      <c r="A224">
        <v>1019</v>
      </c>
      <c r="B224" t="s">
        <v>38</v>
      </c>
      <c r="C224" t="s">
        <v>14</v>
      </c>
      <c r="D224" t="s">
        <v>31</v>
      </c>
      <c r="E224" s="1">
        <v>45238</v>
      </c>
      <c r="F224">
        <v>10</v>
      </c>
      <c r="G224" t="s">
        <v>22</v>
      </c>
      <c r="H224">
        <v>996243</v>
      </c>
      <c r="I224">
        <v>4644</v>
      </c>
      <c r="J224">
        <v>214.52</v>
      </c>
      <c r="K224">
        <v>622490.56000000006</v>
      </c>
      <c r="L224">
        <v>336791.15</v>
      </c>
      <c r="M224">
        <v>36961.289999999899</v>
      </c>
    </row>
    <row r="225" spans="1:13" x14ac:dyDescent="0.3">
      <c r="A225">
        <v>1019</v>
      </c>
      <c r="B225" t="s">
        <v>38</v>
      </c>
      <c r="C225" t="s">
        <v>14</v>
      </c>
      <c r="D225" t="s">
        <v>31</v>
      </c>
      <c r="E225" s="1">
        <v>45238</v>
      </c>
      <c r="F225">
        <v>10</v>
      </c>
      <c r="G225" t="s">
        <v>23</v>
      </c>
      <c r="H225">
        <v>1402999</v>
      </c>
      <c r="I225">
        <v>10486</v>
      </c>
      <c r="J225">
        <v>133.80000000000001</v>
      </c>
      <c r="K225">
        <v>635656.07999999996</v>
      </c>
      <c r="L225">
        <v>391199.73</v>
      </c>
      <c r="M225">
        <v>376143.19</v>
      </c>
    </row>
    <row r="226" spans="1:13" x14ac:dyDescent="0.3">
      <c r="A226">
        <v>1019</v>
      </c>
      <c r="B226" t="s">
        <v>38</v>
      </c>
      <c r="C226" t="s">
        <v>14</v>
      </c>
      <c r="D226" t="s">
        <v>31</v>
      </c>
      <c r="E226" s="1">
        <v>45238</v>
      </c>
      <c r="F226">
        <v>10</v>
      </c>
      <c r="G226" t="s">
        <v>24</v>
      </c>
      <c r="H226">
        <v>623718</v>
      </c>
      <c r="I226">
        <v>4225</v>
      </c>
      <c r="J226">
        <v>147.63</v>
      </c>
      <c r="K226">
        <v>339239.05</v>
      </c>
      <c r="L226">
        <v>276831.45</v>
      </c>
      <c r="M226">
        <v>7647.5</v>
      </c>
    </row>
    <row r="227" spans="1:13" x14ac:dyDescent="0.3">
      <c r="A227">
        <v>1019</v>
      </c>
      <c r="B227" t="s">
        <v>38</v>
      </c>
      <c r="C227" t="s">
        <v>14</v>
      </c>
      <c r="D227" t="s">
        <v>31</v>
      </c>
      <c r="E227" s="1">
        <v>45238</v>
      </c>
      <c r="F227">
        <v>10</v>
      </c>
      <c r="G227" t="s">
        <v>25</v>
      </c>
      <c r="H227">
        <v>1010014</v>
      </c>
      <c r="I227">
        <v>13211</v>
      </c>
      <c r="J227">
        <v>76.45</v>
      </c>
      <c r="K227">
        <v>594434.56999999995</v>
      </c>
      <c r="L227">
        <v>383772.32</v>
      </c>
      <c r="M227">
        <v>31807.11</v>
      </c>
    </row>
    <row r="228" spans="1:13" x14ac:dyDescent="0.3">
      <c r="A228">
        <v>1019</v>
      </c>
      <c r="B228" t="s">
        <v>38</v>
      </c>
      <c r="C228" t="s">
        <v>14</v>
      </c>
      <c r="D228" t="s">
        <v>31</v>
      </c>
      <c r="E228" s="1">
        <v>45238</v>
      </c>
      <c r="F228">
        <v>10</v>
      </c>
      <c r="G228" t="s">
        <v>26</v>
      </c>
      <c r="H228">
        <v>989051</v>
      </c>
      <c r="I228">
        <v>14048</v>
      </c>
      <c r="J228">
        <v>70.41</v>
      </c>
      <c r="K228">
        <v>615059.6</v>
      </c>
      <c r="L228">
        <v>322432.48</v>
      </c>
      <c r="M228">
        <v>51558.92</v>
      </c>
    </row>
    <row r="229" spans="1:13" x14ac:dyDescent="0.3">
      <c r="A229">
        <v>1019</v>
      </c>
      <c r="B229" t="s">
        <v>38</v>
      </c>
      <c r="C229" t="s">
        <v>14</v>
      </c>
      <c r="D229" t="s">
        <v>31</v>
      </c>
      <c r="E229" s="1">
        <v>45238</v>
      </c>
      <c r="F229">
        <v>10</v>
      </c>
      <c r="G229" t="s">
        <v>27</v>
      </c>
      <c r="H229">
        <v>964086</v>
      </c>
      <c r="I229">
        <v>13269</v>
      </c>
      <c r="J229">
        <v>72.66</v>
      </c>
      <c r="K229">
        <v>572419.78</v>
      </c>
      <c r="L229">
        <v>387447.23</v>
      </c>
      <c r="M229">
        <v>4218.9899999999898</v>
      </c>
    </row>
    <row r="230" spans="1:13" x14ac:dyDescent="0.3">
      <c r="A230">
        <v>1020</v>
      </c>
      <c r="B230" t="s">
        <v>38</v>
      </c>
      <c r="C230" t="s">
        <v>14</v>
      </c>
      <c r="D230" t="s">
        <v>15</v>
      </c>
      <c r="E230" s="1">
        <v>44730</v>
      </c>
      <c r="F230">
        <v>9</v>
      </c>
      <c r="G230" t="s">
        <v>16</v>
      </c>
      <c r="H230">
        <v>792348</v>
      </c>
      <c r="I230">
        <v>13340</v>
      </c>
      <c r="J230">
        <v>59.4</v>
      </c>
      <c r="K230">
        <v>465013.13</v>
      </c>
      <c r="L230">
        <v>243627.84</v>
      </c>
      <c r="M230">
        <v>83707.03</v>
      </c>
    </row>
    <row r="231" spans="1:13" x14ac:dyDescent="0.3">
      <c r="A231">
        <v>1020</v>
      </c>
      <c r="B231" t="s">
        <v>38</v>
      </c>
      <c r="C231" t="s">
        <v>14</v>
      </c>
      <c r="D231" t="s">
        <v>15</v>
      </c>
      <c r="E231" s="1">
        <v>44730</v>
      </c>
      <c r="F231">
        <v>9</v>
      </c>
      <c r="G231" t="s">
        <v>17</v>
      </c>
      <c r="H231">
        <v>777073</v>
      </c>
      <c r="I231">
        <v>4480</v>
      </c>
      <c r="J231">
        <v>173.45</v>
      </c>
      <c r="K231">
        <v>417128.35</v>
      </c>
      <c r="L231">
        <v>209567.75</v>
      </c>
      <c r="M231">
        <v>150376.9</v>
      </c>
    </row>
    <row r="232" spans="1:13" x14ac:dyDescent="0.3">
      <c r="A232">
        <v>1020</v>
      </c>
      <c r="B232" t="s">
        <v>38</v>
      </c>
      <c r="C232" t="s">
        <v>14</v>
      </c>
      <c r="D232" t="s">
        <v>15</v>
      </c>
      <c r="E232" s="1">
        <v>44730</v>
      </c>
      <c r="F232">
        <v>9</v>
      </c>
      <c r="G232" t="s">
        <v>18</v>
      </c>
      <c r="H232">
        <v>510778</v>
      </c>
      <c r="I232">
        <v>10269</v>
      </c>
      <c r="J232">
        <v>49.74</v>
      </c>
      <c r="K232">
        <v>246845.19</v>
      </c>
      <c r="L232">
        <v>158286.64000000001</v>
      </c>
      <c r="M232">
        <v>105646.16999999899</v>
      </c>
    </row>
    <row r="233" spans="1:13" x14ac:dyDescent="0.3">
      <c r="A233">
        <v>1020</v>
      </c>
      <c r="B233" t="s">
        <v>38</v>
      </c>
      <c r="C233" t="s">
        <v>14</v>
      </c>
      <c r="D233" t="s">
        <v>15</v>
      </c>
      <c r="E233" s="1">
        <v>44730</v>
      </c>
      <c r="F233">
        <v>9</v>
      </c>
      <c r="G233" t="s">
        <v>19</v>
      </c>
      <c r="H233">
        <v>360706</v>
      </c>
      <c r="I233">
        <v>3753</v>
      </c>
      <c r="J233">
        <v>96.11</v>
      </c>
      <c r="K233">
        <v>185718.48</v>
      </c>
      <c r="L233">
        <v>94225.01</v>
      </c>
      <c r="M233">
        <v>80762.509999999995</v>
      </c>
    </row>
    <row r="234" spans="1:13" x14ac:dyDescent="0.3">
      <c r="A234">
        <v>1020</v>
      </c>
      <c r="B234" t="s">
        <v>38</v>
      </c>
      <c r="C234" t="s">
        <v>14</v>
      </c>
      <c r="D234" t="s">
        <v>15</v>
      </c>
      <c r="E234" s="1">
        <v>44730</v>
      </c>
      <c r="F234">
        <v>9</v>
      </c>
      <c r="G234" t="s">
        <v>20</v>
      </c>
      <c r="H234">
        <v>1051752</v>
      </c>
      <c r="I234">
        <v>9141</v>
      </c>
      <c r="J234">
        <v>115.06</v>
      </c>
      <c r="K234">
        <v>563883.54</v>
      </c>
      <c r="L234">
        <v>314305.03000000003</v>
      </c>
      <c r="M234">
        <v>173563.429999999</v>
      </c>
    </row>
    <row r="235" spans="1:13" x14ac:dyDescent="0.3">
      <c r="A235">
        <v>1020</v>
      </c>
      <c r="B235" t="s">
        <v>38</v>
      </c>
      <c r="C235" t="s">
        <v>14</v>
      </c>
      <c r="D235" t="s">
        <v>15</v>
      </c>
      <c r="E235" s="1">
        <v>44730</v>
      </c>
      <c r="F235">
        <v>9</v>
      </c>
      <c r="G235" t="s">
        <v>21</v>
      </c>
      <c r="H235">
        <v>1164135</v>
      </c>
      <c r="I235">
        <v>12272</v>
      </c>
      <c r="J235">
        <v>94.86</v>
      </c>
      <c r="K235">
        <v>682602.29</v>
      </c>
      <c r="L235">
        <v>332955.84999999998</v>
      </c>
      <c r="M235">
        <v>148576.85999999999</v>
      </c>
    </row>
    <row r="236" spans="1:13" x14ac:dyDescent="0.3">
      <c r="A236">
        <v>1020</v>
      </c>
      <c r="B236" t="s">
        <v>38</v>
      </c>
      <c r="C236" t="s">
        <v>14</v>
      </c>
      <c r="D236" t="s">
        <v>15</v>
      </c>
      <c r="E236" s="1">
        <v>44730</v>
      </c>
      <c r="F236">
        <v>9</v>
      </c>
      <c r="G236" t="s">
        <v>22</v>
      </c>
      <c r="H236">
        <v>667147</v>
      </c>
      <c r="I236">
        <v>4293</v>
      </c>
      <c r="J236">
        <v>155.4</v>
      </c>
      <c r="K236">
        <v>381540.27</v>
      </c>
      <c r="L236">
        <v>217829.41</v>
      </c>
      <c r="M236">
        <v>67777.319999999905</v>
      </c>
    </row>
    <row r="237" spans="1:13" x14ac:dyDescent="0.3">
      <c r="A237">
        <v>1020</v>
      </c>
      <c r="B237" t="s">
        <v>38</v>
      </c>
      <c r="C237" t="s">
        <v>14</v>
      </c>
      <c r="D237" t="s">
        <v>15</v>
      </c>
      <c r="E237" s="1">
        <v>44730</v>
      </c>
      <c r="F237">
        <v>9</v>
      </c>
      <c r="G237" t="s">
        <v>23</v>
      </c>
      <c r="H237">
        <v>805056</v>
      </c>
      <c r="I237">
        <v>11153</v>
      </c>
      <c r="J237">
        <v>72.180000000000007</v>
      </c>
      <c r="K237">
        <v>509250.9</v>
      </c>
      <c r="L237">
        <v>224307.56</v>
      </c>
      <c r="M237">
        <v>71497.539999999906</v>
      </c>
    </row>
    <row r="238" spans="1:13" x14ac:dyDescent="0.3">
      <c r="A238">
        <v>1020</v>
      </c>
      <c r="B238" t="s">
        <v>38</v>
      </c>
      <c r="C238" t="s">
        <v>14</v>
      </c>
      <c r="D238" t="s">
        <v>15</v>
      </c>
      <c r="E238" s="1">
        <v>44730</v>
      </c>
      <c r="F238">
        <v>9</v>
      </c>
      <c r="G238" t="s">
        <v>24</v>
      </c>
      <c r="H238">
        <v>1267101</v>
      </c>
      <c r="I238">
        <v>13451</v>
      </c>
      <c r="J238">
        <v>94.2</v>
      </c>
      <c r="K238">
        <v>634558.43999999994</v>
      </c>
      <c r="L238">
        <v>381480.2</v>
      </c>
      <c r="M238">
        <v>251062.36</v>
      </c>
    </row>
    <row r="239" spans="1:13" x14ac:dyDescent="0.3">
      <c r="A239">
        <v>1020</v>
      </c>
      <c r="B239" t="s">
        <v>38</v>
      </c>
      <c r="C239" t="s">
        <v>14</v>
      </c>
      <c r="D239" t="s">
        <v>15</v>
      </c>
      <c r="E239" s="1">
        <v>44730</v>
      </c>
      <c r="F239">
        <v>9</v>
      </c>
      <c r="G239" t="s">
        <v>25</v>
      </c>
      <c r="H239">
        <v>319707</v>
      </c>
      <c r="I239">
        <v>10622</v>
      </c>
      <c r="J239">
        <v>30.1</v>
      </c>
      <c r="K239">
        <v>201492.74</v>
      </c>
      <c r="L239">
        <v>123254.14</v>
      </c>
      <c r="M239">
        <v>-5039.8799999999901</v>
      </c>
    </row>
    <row r="240" spans="1:13" x14ac:dyDescent="0.3">
      <c r="A240">
        <v>1020</v>
      </c>
      <c r="B240" t="s">
        <v>38</v>
      </c>
      <c r="C240" t="s">
        <v>14</v>
      </c>
      <c r="D240" t="s">
        <v>15</v>
      </c>
      <c r="E240" s="1">
        <v>44730</v>
      </c>
      <c r="F240">
        <v>9</v>
      </c>
      <c r="G240" t="s">
        <v>26</v>
      </c>
      <c r="H240">
        <v>631298</v>
      </c>
      <c r="I240">
        <v>4210</v>
      </c>
      <c r="J240">
        <v>149.94999999999999</v>
      </c>
      <c r="K240">
        <v>339856.73</v>
      </c>
      <c r="L240">
        <v>201455.48</v>
      </c>
      <c r="M240">
        <v>89985.79</v>
      </c>
    </row>
    <row r="241" spans="1:13" x14ac:dyDescent="0.3">
      <c r="A241">
        <v>1020</v>
      </c>
      <c r="B241" t="s">
        <v>38</v>
      </c>
      <c r="C241" t="s">
        <v>14</v>
      </c>
      <c r="D241" t="s">
        <v>15</v>
      </c>
      <c r="E241" s="1">
        <v>44730</v>
      </c>
      <c r="F241">
        <v>9</v>
      </c>
      <c r="G241" t="s">
        <v>27</v>
      </c>
      <c r="H241">
        <v>927371</v>
      </c>
      <c r="I241">
        <v>13468</v>
      </c>
      <c r="J241">
        <v>68.86</v>
      </c>
      <c r="K241">
        <v>595748.52</v>
      </c>
      <c r="L241">
        <v>359878.1</v>
      </c>
      <c r="M241">
        <v>-28255.619999999901</v>
      </c>
    </row>
    <row r="242" spans="1:13" x14ac:dyDescent="0.3">
      <c r="A242">
        <v>1021</v>
      </c>
      <c r="B242" t="s">
        <v>38</v>
      </c>
      <c r="C242" t="s">
        <v>14</v>
      </c>
      <c r="D242" t="s">
        <v>31</v>
      </c>
      <c r="E242" s="1">
        <v>45197</v>
      </c>
      <c r="F242">
        <v>12</v>
      </c>
      <c r="G242" t="s">
        <v>16</v>
      </c>
      <c r="H242">
        <v>717788</v>
      </c>
      <c r="I242">
        <v>9302</v>
      </c>
      <c r="J242">
        <v>77.16</v>
      </c>
      <c r="K242">
        <v>445507.39</v>
      </c>
      <c r="L242">
        <v>194757.89</v>
      </c>
      <c r="M242">
        <v>77522.719999999899</v>
      </c>
    </row>
    <row r="243" spans="1:13" x14ac:dyDescent="0.3">
      <c r="A243">
        <v>1021</v>
      </c>
      <c r="B243" t="s">
        <v>38</v>
      </c>
      <c r="C243" t="s">
        <v>14</v>
      </c>
      <c r="D243" t="s">
        <v>31</v>
      </c>
      <c r="E243" s="1">
        <v>45197</v>
      </c>
      <c r="F243">
        <v>12</v>
      </c>
      <c r="G243" t="s">
        <v>17</v>
      </c>
      <c r="H243">
        <v>1099778</v>
      </c>
      <c r="I243">
        <v>12370</v>
      </c>
      <c r="J243">
        <v>88.91</v>
      </c>
      <c r="K243">
        <v>573855.18000000005</v>
      </c>
      <c r="L243">
        <v>340023.29</v>
      </c>
      <c r="M243">
        <v>185899.52999999901</v>
      </c>
    </row>
    <row r="244" spans="1:13" x14ac:dyDescent="0.3">
      <c r="A244">
        <v>1021</v>
      </c>
      <c r="B244" t="s">
        <v>38</v>
      </c>
      <c r="C244" t="s">
        <v>14</v>
      </c>
      <c r="D244" t="s">
        <v>31</v>
      </c>
      <c r="E244" s="1">
        <v>45197</v>
      </c>
      <c r="F244">
        <v>12</v>
      </c>
      <c r="G244" t="s">
        <v>18</v>
      </c>
      <c r="H244">
        <v>919143</v>
      </c>
      <c r="I244">
        <v>3359</v>
      </c>
      <c r="J244">
        <v>273.64</v>
      </c>
      <c r="K244">
        <v>593388.52</v>
      </c>
      <c r="L244">
        <v>350787.22</v>
      </c>
      <c r="M244">
        <v>-25032.7399999999</v>
      </c>
    </row>
    <row r="245" spans="1:13" x14ac:dyDescent="0.3">
      <c r="A245">
        <v>1021</v>
      </c>
      <c r="B245" t="s">
        <v>38</v>
      </c>
      <c r="C245" t="s">
        <v>14</v>
      </c>
      <c r="D245" t="s">
        <v>31</v>
      </c>
      <c r="E245" s="1">
        <v>45197</v>
      </c>
      <c r="F245">
        <v>12</v>
      </c>
      <c r="G245" t="s">
        <v>19</v>
      </c>
      <c r="H245">
        <v>875627</v>
      </c>
      <c r="I245">
        <v>3132</v>
      </c>
      <c r="J245">
        <v>279.57</v>
      </c>
      <c r="K245">
        <v>493140.7</v>
      </c>
      <c r="L245">
        <v>339007.66</v>
      </c>
      <c r="M245">
        <v>43478.64</v>
      </c>
    </row>
    <row r="246" spans="1:13" x14ac:dyDescent="0.3">
      <c r="A246">
        <v>1021</v>
      </c>
      <c r="B246" t="s">
        <v>38</v>
      </c>
      <c r="C246" t="s">
        <v>14</v>
      </c>
      <c r="D246" t="s">
        <v>31</v>
      </c>
      <c r="E246" s="1">
        <v>45197</v>
      </c>
      <c r="F246">
        <v>12</v>
      </c>
      <c r="G246" t="s">
        <v>20</v>
      </c>
      <c r="H246">
        <v>402853</v>
      </c>
      <c r="I246">
        <v>12935</v>
      </c>
      <c r="J246">
        <v>31.14</v>
      </c>
      <c r="K246">
        <v>241322.82</v>
      </c>
      <c r="L246">
        <v>167815.58</v>
      </c>
      <c r="M246">
        <v>-6285.3999999999896</v>
      </c>
    </row>
    <row r="247" spans="1:13" x14ac:dyDescent="0.3">
      <c r="A247">
        <v>1021</v>
      </c>
      <c r="B247" t="s">
        <v>38</v>
      </c>
      <c r="C247" t="s">
        <v>14</v>
      </c>
      <c r="D247" t="s">
        <v>31</v>
      </c>
      <c r="E247" s="1">
        <v>45197</v>
      </c>
      <c r="F247">
        <v>12</v>
      </c>
      <c r="G247" t="s">
        <v>21</v>
      </c>
      <c r="H247">
        <v>900192</v>
      </c>
      <c r="I247">
        <v>6770</v>
      </c>
      <c r="J247">
        <v>132.97</v>
      </c>
      <c r="K247">
        <v>514381.41</v>
      </c>
      <c r="L247">
        <v>288479.3</v>
      </c>
      <c r="M247">
        <v>97331.29</v>
      </c>
    </row>
    <row r="248" spans="1:13" x14ac:dyDescent="0.3">
      <c r="A248">
        <v>1021</v>
      </c>
      <c r="B248" t="s">
        <v>38</v>
      </c>
      <c r="C248" t="s">
        <v>14</v>
      </c>
      <c r="D248" t="s">
        <v>31</v>
      </c>
      <c r="E248" s="1">
        <v>45197</v>
      </c>
      <c r="F248">
        <v>12</v>
      </c>
      <c r="G248" t="s">
        <v>22</v>
      </c>
      <c r="H248">
        <v>698735</v>
      </c>
      <c r="I248">
        <v>13172</v>
      </c>
      <c r="J248">
        <v>53.05</v>
      </c>
      <c r="K248">
        <v>349455.09</v>
      </c>
      <c r="L248">
        <v>280273.40999999997</v>
      </c>
      <c r="M248">
        <v>69006.5</v>
      </c>
    </row>
    <row r="249" spans="1:13" x14ac:dyDescent="0.3">
      <c r="A249">
        <v>1021</v>
      </c>
      <c r="B249" t="s">
        <v>38</v>
      </c>
      <c r="C249" t="s">
        <v>14</v>
      </c>
      <c r="D249" t="s">
        <v>31</v>
      </c>
      <c r="E249" s="1">
        <v>45197</v>
      </c>
      <c r="F249">
        <v>12</v>
      </c>
      <c r="G249" t="s">
        <v>23</v>
      </c>
      <c r="H249">
        <v>586846</v>
      </c>
      <c r="I249">
        <v>13293</v>
      </c>
      <c r="J249">
        <v>44.15</v>
      </c>
      <c r="K249">
        <v>275484.75</v>
      </c>
      <c r="L249">
        <v>220355.76</v>
      </c>
      <c r="M249">
        <v>91005.489999999903</v>
      </c>
    </row>
    <row r="250" spans="1:13" x14ac:dyDescent="0.3">
      <c r="A250">
        <v>1021</v>
      </c>
      <c r="B250" t="s">
        <v>38</v>
      </c>
      <c r="C250" t="s">
        <v>14</v>
      </c>
      <c r="D250" t="s">
        <v>31</v>
      </c>
      <c r="E250" s="1">
        <v>45197</v>
      </c>
      <c r="F250">
        <v>12</v>
      </c>
      <c r="G250" t="s">
        <v>24</v>
      </c>
      <c r="H250">
        <v>382675</v>
      </c>
      <c r="I250">
        <v>8061</v>
      </c>
      <c r="J250">
        <v>47.47</v>
      </c>
      <c r="K250">
        <v>232560.05</v>
      </c>
      <c r="L250">
        <v>98222.3</v>
      </c>
      <c r="M250">
        <v>51892.65</v>
      </c>
    </row>
    <row r="251" spans="1:13" x14ac:dyDescent="0.3">
      <c r="A251">
        <v>1021</v>
      </c>
      <c r="B251" t="s">
        <v>38</v>
      </c>
      <c r="C251" t="s">
        <v>14</v>
      </c>
      <c r="D251" t="s">
        <v>31</v>
      </c>
      <c r="E251" s="1">
        <v>45197</v>
      </c>
      <c r="F251">
        <v>12</v>
      </c>
      <c r="G251" t="s">
        <v>25</v>
      </c>
      <c r="H251">
        <v>1065169</v>
      </c>
      <c r="I251">
        <v>14998</v>
      </c>
      <c r="J251">
        <v>71.02</v>
      </c>
      <c r="K251">
        <v>507321.21</v>
      </c>
      <c r="L251">
        <v>460073.72</v>
      </c>
      <c r="M251">
        <v>97774.07</v>
      </c>
    </row>
    <row r="252" spans="1:13" x14ac:dyDescent="0.3">
      <c r="A252">
        <v>1021</v>
      </c>
      <c r="B252" t="s">
        <v>38</v>
      </c>
      <c r="C252" t="s">
        <v>14</v>
      </c>
      <c r="D252" t="s">
        <v>31</v>
      </c>
      <c r="E252" s="1">
        <v>45197</v>
      </c>
      <c r="F252">
        <v>12</v>
      </c>
      <c r="G252" t="s">
        <v>26</v>
      </c>
      <c r="H252">
        <v>985179</v>
      </c>
      <c r="I252">
        <v>9807</v>
      </c>
      <c r="J252">
        <v>100.46</v>
      </c>
      <c r="K252">
        <v>477937.93</v>
      </c>
      <c r="L252">
        <v>272334.96000000002</v>
      </c>
      <c r="M252">
        <v>234906.11</v>
      </c>
    </row>
    <row r="253" spans="1:13" x14ac:dyDescent="0.3">
      <c r="A253">
        <v>1021</v>
      </c>
      <c r="B253" t="s">
        <v>38</v>
      </c>
      <c r="C253" t="s">
        <v>14</v>
      </c>
      <c r="D253" t="s">
        <v>31</v>
      </c>
      <c r="E253" s="1">
        <v>45197</v>
      </c>
      <c r="F253">
        <v>12</v>
      </c>
      <c r="G253" t="s">
        <v>27</v>
      </c>
      <c r="H253">
        <v>1431220</v>
      </c>
      <c r="I253">
        <v>8994</v>
      </c>
      <c r="J253">
        <v>159.13</v>
      </c>
      <c r="K253">
        <v>796002.31</v>
      </c>
      <c r="L253">
        <v>619285.17000000004</v>
      </c>
      <c r="M253">
        <v>15932.5199999999</v>
      </c>
    </row>
    <row r="254" spans="1:13" x14ac:dyDescent="0.3">
      <c r="A254">
        <v>1022</v>
      </c>
      <c r="B254" t="s">
        <v>39</v>
      </c>
      <c r="C254" t="s">
        <v>40</v>
      </c>
      <c r="D254" t="s">
        <v>15</v>
      </c>
      <c r="E254" s="1">
        <v>43992</v>
      </c>
      <c r="F254">
        <v>15</v>
      </c>
      <c r="G254" t="s">
        <v>16</v>
      </c>
      <c r="H254">
        <v>918956</v>
      </c>
      <c r="I254">
        <v>8549</v>
      </c>
      <c r="J254">
        <v>107.49</v>
      </c>
      <c r="K254">
        <v>561341.06000000006</v>
      </c>
      <c r="L254">
        <v>315814.19</v>
      </c>
      <c r="M254">
        <v>41800.749999999898</v>
      </c>
    </row>
    <row r="255" spans="1:13" x14ac:dyDescent="0.3">
      <c r="A255">
        <v>1022</v>
      </c>
      <c r="B255" t="s">
        <v>39</v>
      </c>
      <c r="C255" t="s">
        <v>40</v>
      </c>
      <c r="D255" t="s">
        <v>15</v>
      </c>
      <c r="E255" s="1">
        <v>43992</v>
      </c>
      <c r="F255">
        <v>15</v>
      </c>
      <c r="G255" t="s">
        <v>17</v>
      </c>
      <c r="H255">
        <v>457914</v>
      </c>
      <c r="I255">
        <v>5306</v>
      </c>
      <c r="J255">
        <v>86.3</v>
      </c>
      <c r="K255">
        <v>275128.61</v>
      </c>
      <c r="L255">
        <v>135140.93</v>
      </c>
      <c r="M255">
        <v>47644.46</v>
      </c>
    </row>
    <row r="256" spans="1:13" x14ac:dyDescent="0.3">
      <c r="A256">
        <v>1022</v>
      </c>
      <c r="B256" t="s">
        <v>39</v>
      </c>
      <c r="C256" t="s">
        <v>40</v>
      </c>
      <c r="D256" t="s">
        <v>15</v>
      </c>
      <c r="E256" s="1">
        <v>43992</v>
      </c>
      <c r="F256">
        <v>15</v>
      </c>
      <c r="G256" t="s">
        <v>18</v>
      </c>
      <c r="H256">
        <v>1133432</v>
      </c>
      <c r="I256">
        <v>12131</v>
      </c>
      <c r="J256">
        <v>93.43</v>
      </c>
      <c r="K256">
        <v>592960.63</v>
      </c>
      <c r="L256">
        <v>462594.85</v>
      </c>
      <c r="M256">
        <v>77876.52</v>
      </c>
    </row>
    <row r="257" spans="1:13" x14ac:dyDescent="0.3">
      <c r="A257">
        <v>1022</v>
      </c>
      <c r="B257" t="s">
        <v>39</v>
      </c>
      <c r="C257" t="s">
        <v>40</v>
      </c>
      <c r="D257" t="s">
        <v>15</v>
      </c>
      <c r="E257" s="1">
        <v>43992</v>
      </c>
      <c r="F257">
        <v>15</v>
      </c>
      <c r="G257" t="s">
        <v>19</v>
      </c>
      <c r="H257">
        <v>329189</v>
      </c>
      <c r="I257">
        <v>7332</v>
      </c>
      <c r="J257">
        <v>44.9</v>
      </c>
      <c r="K257">
        <v>183461.79</v>
      </c>
      <c r="L257">
        <v>112239.36</v>
      </c>
      <c r="M257">
        <v>33487.849999999897</v>
      </c>
    </row>
    <row r="258" spans="1:13" x14ac:dyDescent="0.3">
      <c r="A258">
        <v>1022</v>
      </c>
      <c r="B258" t="s">
        <v>39</v>
      </c>
      <c r="C258" t="s">
        <v>40</v>
      </c>
      <c r="D258" t="s">
        <v>15</v>
      </c>
      <c r="E258" s="1">
        <v>43992</v>
      </c>
      <c r="F258">
        <v>15</v>
      </c>
      <c r="G258" t="s">
        <v>20</v>
      </c>
      <c r="H258">
        <v>849792</v>
      </c>
      <c r="I258">
        <v>12577</v>
      </c>
      <c r="J258">
        <v>67.569999999999993</v>
      </c>
      <c r="K258">
        <v>447164.88</v>
      </c>
      <c r="L258">
        <v>320974.81</v>
      </c>
      <c r="M258">
        <v>81652.31</v>
      </c>
    </row>
    <row r="259" spans="1:13" x14ac:dyDescent="0.3">
      <c r="A259">
        <v>1022</v>
      </c>
      <c r="B259" t="s">
        <v>39</v>
      </c>
      <c r="C259" t="s">
        <v>40</v>
      </c>
      <c r="D259" t="s">
        <v>15</v>
      </c>
      <c r="E259" s="1">
        <v>43992</v>
      </c>
      <c r="F259">
        <v>15</v>
      </c>
      <c r="G259" t="s">
        <v>21</v>
      </c>
      <c r="H259">
        <v>1079036</v>
      </c>
      <c r="I259">
        <v>4775</v>
      </c>
      <c r="J259">
        <v>225.98</v>
      </c>
      <c r="K259">
        <v>631200.79</v>
      </c>
      <c r="L259">
        <v>371507.1</v>
      </c>
      <c r="M259">
        <v>76328.109999999899</v>
      </c>
    </row>
    <row r="260" spans="1:13" x14ac:dyDescent="0.3">
      <c r="A260">
        <v>1022</v>
      </c>
      <c r="B260" t="s">
        <v>39</v>
      </c>
      <c r="C260" t="s">
        <v>40</v>
      </c>
      <c r="D260" t="s">
        <v>15</v>
      </c>
      <c r="E260" s="1">
        <v>43992</v>
      </c>
      <c r="F260">
        <v>15</v>
      </c>
      <c r="G260" t="s">
        <v>22</v>
      </c>
      <c r="H260">
        <v>1477356</v>
      </c>
      <c r="I260">
        <v>8374</v>
      </c>
      <c r="J260">
        <v>176.42</v>
      </c>
      <c r="K260">
        <v>935241.96</v>
      </c>
      <c r="L260">
        <v>434746.63</v>
      </c>
      <c r="M260">
        <v>107367.41</v>
      </c>
    </row>
    <row r="261" spans="1:13" x14ac:dyDescent="0.3">
      <c r="A261">
        <v>1022</v>
      </c>
      <c r="B261" t="s">
        <v>39</v>
      </c>
      <c r="C261" t="s">
        <v>40</v>
      </c>
      <c r="D261" t="s">
        <v>15</v>
      </c>
      <c r="E261" s="1">
        <v>43992</v>
      </c>
      <c r="F261">
        <v>15</v>
      </c>
      <c r="G261" t="s">
        <v>23</v>
      </c>
      <c r="H261">
        <v>432575</v>
      </c>
      <c r="I261">
        <v>13410</v>
      </c>
      <c r="J261">
        <v>32.26</v>
      </c>
      <c r="K261">
        <v>265934.59999999998</v>
      </c>
      <c r="L261">
        <v>186819.42</v>
      </c>
      <c r="M261">
        <v>-20179.019999999899</v>
      </c>
    </row>
    <row r="262" spans="1:13" x14ac:dyDescent="0.3">
      <c r="A262">
        <v>1022</v>
      </c>
      <c r="B262" t="s">
        <v>39</v>
      </c>
      <c r="C262" t="s">
        <v>40</v>
      </c>
      <c r="D262" t="s">
        <v>15</v>
      </c>
      <c r="E262" s="1">
        <v>43992</v>
      </c>
      <c r="F262">
        <v>15</v>
      </c>
      <c r="G262" t="s">
        <v>24</v>
      </c>
      <c r="H262">
        <v>933738</v>
      </c>
      <c r="I262">
        <v>13637</v>
      </c>
      <c r="J262">
        <v>68.47</v>
      </c>
      <c r="K262">
        <v>496430.37</v>
      </c>
      <c r="L262">
        <v>259537.52</v>
      </c>
      <c r="M262">
        <v>177770.11</v>
      </c>
    </row>
    <row r="263" spans="1:13" x14ac:dyDescent="0.3">
      <c r="A263">
        <v>1022</v>
      </c>
      <c r="B263" t="s">
        <v>39</v>
      </c>
      <c r="C263" t="s">
        <v>40</v>
      </c>
      <c r="D263" t="s">
        <v>15</v>
      </c>
      <c r="E263" s="1">
        <v>43992</v>
      </c>
      <c r="F263">
        <v>15</v>
      </c>
      <c r="G263" t="s">
        <v>25</v>
      </c>
      <c r="H263">
        <v>378039</v>
      </c>
      <c r="I263">
        <v>7986</v>
      </c>
      <c r="J263">
        <v>47.34</v>
      </c>
      <c r="K263">
        <v>245417.43</v>
      </c>
      <c r="L263">
        <v>103289.36</v>
      </c>
      <c r="M263">
        <v>29332.21</v>
      </c>
    </row>
    <row r="264" spans="1:13" x14ac:dyDescent="0.3">
      <c r="A264">
        <v>1022</v>
      </c>
      <c r="B264" t="s">
        <v>39</v>
      </c>
      <c r="C264" t="s">
        <v>40</v>
      </c>
      <c r="D264" t="s">
        <v>15</v>
      </c>
      <c r="E264" s="1">
        <v>43992</v>
      </c>
      <c r="F264">
        <v>15</v>
      </c>
      <c r="G264" t="s">
        <v>26</v>
      </c>
      <c r="H264">
        <v>792411</v>
      </c>
      <c r="I264">
        <v>11807</v>
      </c>
      <c r="J264">
        <v>67.11</v>
      </c>
      <c r="K264">
        <v>378085.29</v>
      </c>
      <c r="L264">
        <v>269997.21000000002</v>
      </c>
      <c r="M264">
        <v>144328.5</v>
      </c>
    </row>
    <row r="265" spans="1:13" x14ac:dyDescent="0.3">
      <c r="A265">
        <v>1022</v>
      </c>
      <c r="B265" t="s">
        <v>39</v>
      </c>
      <c r="C265" t="s">
        <v>40</v>
      </c>
      <c r="D265" t="s">
        <v>15</v>
      </c>
      <c r="E265" s="1">
        <v>43992</v>
      </c>
      <c r="F265">
        <v>15</v>
      </c>
      <c r="G265" t="s">
        <v>27</v>
      </c>
      <c r="H265">
        <v>1432865</v>
      </c>
      <c r="I265">
        <v>9866</v>
      </c>
      <c r="J265">
        <v>145.22999999999999</v>
      </c>
      <c r="K265">
        <v>813105.13</v>
      </c>
      <c r="L265">
        <v>566439.94999999995</v>
      </c>
      <c r="M265">
        <v>53319.92</v>
      </c>
    </row>
    <row r="266" spans="1:13" x14ac:dyDescent="0.3">
      <c r="A266">
        <v>1023</v>
      </c>
      <c r="B266" t="s">
        <v>39</v>
      </c>
      <c r="C266" t="s">
        <v>40</v>
      </c>
      <c r="D266" t="s">
        <v>31</v>
      </c>
      <c r="E266" s="1">
        <v>44807</v>
      </c>
      <c r="F266">
        <v>9</v>
      </c>
      <c r="G266" t="s">
        <v>16</v>
      </c>
      <c r="H266">
        <v>1326235</v>
      </c>
      <c r="I266">
        <v>13086</v>
      </c>
      <c r="J266">
        <v>101.35</v>
      </c>
      <c r="K266">
        <v>705057.26</v>
      </c>
      <c r="L266">
        <v>583946.98</v>
      </c>
      <c r="M266">
        <v>37230.76</v>
      </c>
    </row>
    <row r="267" spans="1:13" x14ac:dyDescent="0.3">
      <c r="A267">
        <v>1023</v>
      </c>
      <c r="B267" t="s">
        <v>39</v>
      </c>
      <c r="C267" t="s">
        <v>40</v>
      </c>
      <c r="D267" t="s">
        <v>31</v>
      </c>
      <c r="E267" s="1">
        <v>44807</v>
      </c>
      <c r="F267">
        <v>9</v>
      </c>
      <c r="G267" t="s">
        <v>17</v>
      </c>
      <c r="H267">
        <v>368611</v>
      </c>
      <c r="I267">
        <v>14309</v>
      </c>
      <c r="J267">
        <v>25.76</v>
      </c>
      <c r="K267">
        <v>193191.23</v>
      </c>
      <c r="L267">
        <v>124839.93</v>
      </c>
      <c r="M267">
        <v>50579.839999999997</v>
      </c>
    </row>
    <row r="268" spans="1:13" x14ac:dyDescent="0.3">
      <c r="A268">
        <v>1023</v>
      </c>
      <c r="B268" t="s">
        <v>39</v>
      </c>
      <c r="C268" t="s">
        <v>40</v>
      </c>
      <c r="D268" t="s">
        <v>31</v>
      </c>
      <c r="E268" s="1">
        <v>44807</v>
      </c>
      <c r="F268">
        <v>9</v>
      </c>
      <c r="G268" t="s">
        <v>18</v>
      </c>
      <c r="H268">
        <v>795164</v>
      </c>
      <c r="I268">
        <v>8942</v>
      </c>
      <c r="J268">
        <v>88.92</v>
      </c>
      <c r="K268">
        <v>373624.44</v>
      </c>
      <c r="L268">
        <v>307836.65000000002</v>
      </c>
      <c r="M268">
        <v>113702.909999999</v>
      </c>
    </row>
    <row r="269" spans="1:13" x14ac:dyDescent="0.3">
      <c r="A269">
        <v>1023</v>
      </c>
      <c r="B269" t="s">
        <v>39</v>
      </c>
      <c r="C269" t="s">
        <v>40</v>
      </c>
      <c r="D269" t="s">
        <v>31</v>
      </c>
      <c r="E269" s="1">
        <v>44807</v>
      </c>
      <c r="F269">
        <v>9</v>
      </c>
      <c r="G269" t="s">
        <v>19</v>
      </c>
      <c r="H269">
        <v>1441827</v>
      </c>
      <c r="I269">
        <v>13564</v>
      </c>
      <c r="J269">
        <v>106.3</v>
      </c>
      <c r="K269">
        <v>752251.28</v>
      </c>
      <c r="L269">
        <v>475266.45</v>
      </c>
      <c r="M269">
        <v>214309.269999999</v>
      </c>
    </row>
    <row r="270" spans="1:13" x14ac:dyDescent="0.3">
      <c r="A270">
        <v>1023</v>
      </c>
      <c r="B270" t="s">
        <v>39</v>
      </c>
      <c r="C270" t="s">
        <v>40</v>
      </c>
      <c r="D270" t="s">
        <v>31</v>
      </c>
      <c r="E270" s="1">
        <v>44807</v>
      </c>
      <c r="F270">
        <v>9</v>
      </c>
      <c r="G270" t="s">
        <v>20</v>
      </c>
      <c r="H270">
        <v>698057</v>
      </c>
      <c r="I270">
        <v>5001</v>
      </c>
      <c r="J270">
        <v>139.58000000000001</v>
      </c>
      <c r="K270">
        <v>446618.37</v>
      </c>
      <c r="L270">
        <v>289580.71999999997</v>
      </c>
      <c r="M270">
        <v>-38142.089999999902</v>
      </c>
    </row>
    <row r="271" spans="1:13" x14ac:dyDescent="0.3">
      <c r="A271">
        <v>1023</v>
      </c>
      <c r="B271" t="s">
        <v>39</v>
      </c>
      <c r="C271" t="s">
        <v>40</v>
      </c>
      <c r="D271" t="s">
        <v>31</v>
      </c>
      <c r="E271" s="1">
        <v>44807</v>
      </c>
      <c r="F271">
        <v>9</v>
      </c>
      <c r="G271" t="s">
        <v>21</v>
      </c>
      <c r="H271">
        <v>492253</v>
      </c>
      <c r="I271">
        <v>13858</v>
      </c>
      <c r="J271">
        <v>35.520000000000003</v>
      </c>
      <c r="K271">
        <v>242395.79</v>
      </c>
      <c r="L271">
        <v>186021.71</v>
      </c>
      <c r="M271">
        <v>63835.5</v>
      </c>
    </row>
    <row r="272" spans="1:13" x14ac:dyDescent="0.3">
      <c r="A272">
        <v>1023</v>
      </c>
      <c r="B272" t="s">
        <v>39</v>
      </c>
      <c r="C272" t="s">
        <v>40</v>
      </c>
      <c r="D272" t="s">
        <v>31</v>
      </c>
      <c r="E272" s="1">
        <v>44807</v>
      </c>
      <c r="F272">
        <v>9</v>
      </c>
      <c r="G272" t="s">
        <v>22</v>
      </c>
      <c r="H272">
        <v>344789</v>
      </c>
      <c r="I272">
        <v>3828</v>
      </c>
      <c r="J272">
        <v>90.07</v>
      </c>
      <c r="K272">
        <v>209410.67</v>
      </c>
      <c r="L272">
        <v>102993.23</v>
      </c>
      <c r="M272">
        <v>32385.0999999999</v>
      </c>
    </row>
    <row r="273" spans="1:13" x14ac:dyDescent="0.3">
      <c r="A273">
        <v>1023</v>
      </c>
      <c r="B273" t="s">
        <v>39</v>
      </c>
      <c r="C273" t="s">
        <v>40</v>
      </c>
      <c r="D273" t="s">
        <v>31</v>
      </c>
      <c r="E273" s="1">
        <v>44807</v>
      </c>
      <c r="F273">
        <v>9</v>
      </c>
      <c r="G273" t="s">
        <v>23</v>
      </c>
      <c r="H273">
        <v>564081</v>
      </c>
      <c r="I273">
        <v>12250</v>
      </c>
      <c r="J273">
        <v>46.05</v>
      </c>
      <c r="K273">
        <v>276986.96000000002</v>
      </c>
      <c r="L273">
        <v>234637.15</v>
      </c>
      <c r="M273">
        <v>52456.889999999898</v>
      </c>
    </row>
    <row r="274" spans="1:13" x14ac:dyDescent="0.3">
      <c r="A274">
        <v>1023</v>
      </c>
      <c r="B274" t="s">
        <v>39</v>
      </c>
      <c r="C274" t="s">
        <v>40</v>
      </c>
      <c r="D274" t="s">
        <v>31</v>
      </c>
      <c r="E274" s="1">
        <v>44807</v>
      </c>
      <c r="F274">
        <v>9</v>
      </c>
      <c r="G274" t="s">
        <v>24</v>
      </c>
      <c r="H274">
        <v>1462257</v>
      </c>
      <c r="I274">
        <v>6394</v>
      </c>
      <c r="J274">
        <v>228.69</v>
      </c>
      <c r="K274">
        <v>829504.2</v>
      </c>
      <c r="L274">
        <v>603342.73</v>
      </c>
      <c r="M274">
        <v>29410.07</v>
      </c>
    </row>
    <row r="275" spans="1:13" x14ac:dyDescent="0.3">
      <c r="A275">
        <v>1023</v>
      </c>
      <c r="B275" t="s">
        <v>39</v>
      </c>
      <c r="C275" t="s">
        <v>40</v>
      </c>
      <c r="D275" t="s">
        <v>31</v>
      </c>
      <c r="E275" s="1">
        <v>44807</v>
      </c>
      <c r="F275">
        <v>9</v>
      </c>
      <c r="G275" t="s">
        <v>25</v>
      </c>
      <c r="H275">
        <v>788633</v>
      </c>
      <c r="I275">
        <v>8383</v>
      </c>
      <c r="J275">
        <v>94.08</v>
      </c>
      <c r="K275">
        <v>477023.37</v>
      </c>
      <c r="L275">
        <v>321548.34999999998</v>
      </c>
      <c r="M275">
        <v>-9938.7199999999702</v>
      </c>
    </row>
    <row r="276" spans="1:13" x14ac:dyDescent="0.3">
      <c r="A276">
        <v>1023</v>
      </c>
      <c r="B276" t="s">
        <v>39</v>
      </c>
      <c r="C276" t="s">
        <v>40</v>
      </c>
      <c r="D276" t="s">
        <v>31</v>
      </c>
      <c r="E276" s="1">
        <v>44807</v>
      </c>
      <c r="F276">
        <v>9</v>
      </c>
      <c r="G276" t="s">
        <v>26</v>
      </c>
      <c r="H276">
        <v>305946</v>
      </c>
      <c r="I276">
        <v>7542</v>
      </c>
      <c r="J276">
        <v>40.57</v>
      </c>
      <c r="K276">
        <v>190200.88</v>
      </c>
      <c r="L276">
        <v>85339.839999999997</v>
      </c>
      <c r="M276">
        <v>30405.279999999999</v>
      </c>
    </row>
    <row r="277" spans="1:13" x14ac:dyDescent="0.3">
      <c r="A277">
        <v>1023</v>
      </c>
      <c r="B277" t="s">
        <v>39</v>
      </c>
      <c r="C277" t="s">
        <v>40</v>
      </c>
      <c r="D277" t="s">
        <v>31</v>
      </c>
      <c r="E277" s="1">
        <v>44807</v>
      </c>
      <c r="F277">
        <v>9</v>
      </c>
      <c r="G277" t="s">
        <v>27</v>
      </c>
      <c r="H277">
        <v>572613</v>
      </c>
      <c r="I277">
        <v>11850</v>
      </c>
      <c r="J277">
        <v>48.32</v>
      </c>
      <c r="K277">
        <v>286381.42</v>
      </c>
      <c r="L277">
        <v>163137.10999999999</v>
      </c>
      <c r="M277">
        <v>123094.47</v>
      </c>
    </row>
    <row r="278" spans="1:13" x14ac:dyDescent="0.3">
      <c r="A278">
        <v>1024</v>
      </c>
      <c r="B278" t="s">
        <v>39</v>
      </c>
      <c r="C278" t="s">
        <v>40</v>
      </c>
      <c r="D278" t="s">
        <v>15</v>
      </c>
      <c r="E278" s="1">
        <v>43735</v>
      </c>
      <c r="F278">
        <v>8</v>
      </c>
      <c r="G278" t="s">
        <v>16</v>
      </c>
      <c r="H278">
        <v>1051288</v>
      </c>
      <c r="I278">
        <v>6898</v>
      </c>
      <c r="J278">
        <v>152.4</v>
      </c>
      <c r="K278">
        <v>596890.4</v>
      </c>
      <c r="L278">
        <v>266140.09000000003</v>
      </c>
      <c r="M278">
        <v>188257.50999999899</v>
      </c>
    </row>
    <row r="279" spans="1:13" x14ac:dyDescent="0.3">
      <c r="A279">
        <v>1024</v>
      </c>
      <c r="B279" t="s">
        <v>39</v>
      </c>
      <c r="C279" t="s">
        <v>40</v>
      </c>
      <c r="D279" t="s">
        <v>15</v>
      </c>
      <c r="E279" s="1">
        <v>43735</v>
      </c>
      <c r="F279">
        <v>8</v>
      </c>
      <c r="G279" t="s">
        <v>17</v>
      </c>
      <c r="H279">
        <v>856516</v>
      </c>
      <c r="I279">
        <v>3858</v>
      </c>
      <c r="J279">
        <v>222.01</v>
      </c>
      <c r="K279">
        <v>407146.34</v>
      </c>
      <c r="L279">
        <v>286240.89</v>
      </c>
      <c r="M279">
        <v>163128.769999999</v>
      </c>
    </row>
    <row r="280" spans="1:13" x14ac:dyDescent="0.3">
      <c r="A280">
        <v>1024</v>
      </c>
      <c r="B280" t="s">
        <v>39</v>
      </c>
      <c r="C280" t="s">
        <v>40</v>
      </c>
      <c r="D280" t="s">
        <v>15</v>
      </c>
      <c r="E280" s="1">
        <v>43735</v>
      </c>
      <c r="F280">
        <v>8</v>
      </c>
      <c r="G280" t="s">
        <v>18</v>
      </c>
      <c r="H280">
        <v>538339</v>
      </c>
      <c r="I280">
        <v>4041</v>
      </c>
      <c r="J280">
        <v>133.22</v>
      </c>
      <c r="K280">
        <v>293528.90999999997</v>
      </c>
      <c r="L280">
        <v>218352.13</v>
      </c>
      <c r="M280">
        <v>26457.96</v>
      </c>
    </row>
    <row r="281" spans="1:13" x14ac:dyDescent="0.3">
      <c r="A281">
        <v>1024</v>
      </c>
      <c r="B281" t="s">
        <v>39</v>
      </c>
      <c r="C281" t="s">
        <v>40</v>
      </c>
      <c r="D281" t="s">
        <v>15</v>
      </c>
      <c r="E281" s="1">
        <v>43735</v>
      </c>
      <c r="F281">
        <v>8</v>
      </c>
      <c r="G281" t="s">
        <v>19</v>
      </c>
      <c r="H281">
        <v>1376338</v>
      </c>
      <c r="I281">
        <v>12726</v>
      </c>
      <c r="J281">
        <v>108.15</v>
      </c>
      <c r="K281">
        <v>649371.14</v>
      </c>
      <c r="L281">
        <v>482774.97</v>
      </c>
      <c r="M281">
        <v>244191.89</v>
      </c>
    </row>
    <row r="282" spans="1:13" x14ac:dyDescent="0.3">
      <c r="A282">
        <v>1024</v>
      </c>
      <c r="B282" t="s">
        <v>39</v>
      </c>
      <c r="C282" t="s">
        <v>40</v>
      </c>
      <c r="D282" t="s">
        <v>15</v>
      </c>
      <c r="E282" s="1">
        <v>43735</v>
      </c>
      <c r="F282">
        <v>8</v>
      </c>
      <c r="G282" t="s">
        <v>20</v>
      </c>
      <c r="H282">
        <v>390943</v>
      </c>
      <c r="I282">
        <v>14915</v>
      </c>
      <c r="J282">
        <v>26.21</v>
      </c>
      <c r="K282">
        <v>237163.77</v>
      </c>
      <c r="L282">
        <v>165523.76999999999</v>
      </c>
      <c r="M282">
        <v>-11744.539999999901</v>
      </c>
    </row>
    <row r="283" spans="1:13" x14ac:dyDescent="0.3">
      <c r="A283">
        <v>1024</v>
      </c>
      <c r="B283" t="s">
        <v>39</v>
      </c>
      <c r="C283" t="s">
        <v>40</v>
      </c>
      <c r="D283" t="s">
        <v>15</v>
      </c>
      <c r="E283" s="1">
        <v>43735</v>
      </c>
      <c r="F283">
        <v>8</v>
      </c>
      <c r="G283" t="s">
        <v>21</v>
      </c>
      <c r="H283">
        <v>1393562</v>
      </c>
      <c r="I283">
        <v>7941</v>
      </c>
      <c r="J283">
        <v>175.49</v>
      </c>
      <c r="K283">
        <v>754765.03</v>
      </c>
      <c r="L283">
        <v>617076.55000000005</v>
      </c>
      <c r="M283">
        <v>21720.4199999999</v>
      </c>
    </row>
    <row r="284" spans="1:13" x14ac:dyDescent="0.3">
      <c r="A284">
        <v>1024</v>
      </c>
      <c r="B284" t="s">
        <v>39</v>
      </c>
      <c r="C284" t="s">
        <v>40</v>
      </c>
      <c r="D284" t="s">
        <v>15</v>
      </c>
      <c r="E284" s="1">
        <v>43735</v>
      </c>
      <c r="F284">
        <v>8</v>
      </c>
      <c r="G284" t="s">
        <v>22</v>
      </c>
      <c r="H284">
        <v>427560</v>
      </c>
      <c r="I284">
        <v>10847</v>
      </c>
      <c r="J284">
        <v>39.42</v>
      </c>
      <c r="K284">
        <v>264856.19</v>
      </c>
      <c r="L284">
        <v>143341.51</v>
      </c>
      <c r="M284">
        <v>19362.299999999901</v>
      </c>
    </row>
    <row r="285" spans="1:13" x14ac:dyDescent="0.3">
      <c r="A285">
        <v>1024</v>
      </c>
      <c r="B285" t="s">
        <v>39</v>
      </c>
      <c r="C285" t="s">
        <v>40</v>
      </c>
      <c r="D285" t="s">
        <v>15</v>
      </c>
      <c r="E285" s="1">
        <v>43735</v>
      </c>
      <c r="F285">
        <v>8</v>
      </c>
      <c r="G285" t="s">
        <v>23</v>
      </c>
      <c r="H285">
        <v>526412</v>
      </c>
      <c r="I285">
        <v>11032</v>
      </c>
      <c r="J285">
        <v>47.72</v>
      </c>
      <c r="K285">
        <v>311888.71999999997</v>
      </c>
      <c r="L285">
        <v>178302.31</v>
      </c>
      <c r="M285">
        <v>36220.97</v>
      </c>
    </row>
    <row r="286" spans="1:13" x14ac:dyDescent="0.3">
      <c r="A286">
        <v>1024</v>
      </c>
      <c r="B286" t="s">
        <v>39</v>
      </c>
      <c r="C286" t="s">
        <v>40</v>
      </c>
      <c r="D286" t="s">
        <v>15</v>
      </c>
      <c r="E286" s="1">
        <v>43735</v>
      </c>
      <c r="F286">
        <v>8</v>
      </c>
      <c r="G286" t="s">
        <v>24</v>
      </c>
      <c r="H286">
        <v>469429</v>
      </c>
      <c r="I286">
        <v>8277</v>
      </c>
      <c r="J286">
        <v>56.71</v>
      </c>
      <c r="K286">
        <v>268353.53999999998</v>
      </c>
      <c r="L286">
        <v>123523.88</v>
      </c>
      <c r="M286">
        <v>77551.58</v>
      </c>
    </row>
    <row r="287" spans="1:13" x14ac:dyDescent="0.3">
      <c r="A287">
        <v>1024</v>
      </c>
      <c r="B287" t="s">
        <v>39</v>
      </c>
      <c r="C287" t="s">
        <v>40</v>
      </c>
      <c r="D287" t="s">
        <v>15</v>
      </c>
      <c r="E287" s="1">
        <v>43735</v>
      </c>
      <c r="F287">
        <v>8</v>
      </c>
      <c r="G287" t="s">
        <v>25</v>
      </c>
      <c r="H287">
        <v>876750</v>
      </c>
      <c r="I287">
        <v>13228</v>
      </c>
      <c r="J287">
        <v>66.28</v>
      </c>
      <c r="K287">
        <v>505547.5</v>
      </c>
      <c r="L287">
        <v>315341.8</v>
      </c>
      <c r="M287">
        <v>55860.7</v>
      </c>
    </row>
    <row r="288" spans="1:13" x14ac:dyDescent="0.3">
      <c r="A288">
        <v>1024</v>
      </c>
      <c r="B288" t="s">
        <v>39</v>
      </c>
      <c r="C288" t="s">
        <v>40</v>
      </c>
      <c r="D288" t="s">
        <v>15</v>
      </c>
      <c r="E288" s="1">
        <v>43735</v>
      </c>
      <c r="F288">
        <v>8</v>
      </c>
      <c r="G288" t="s">
        <v>26</v>
      </c>
      <c r="H288">
        <v>981963</v>
      </c>
      <c r="I288">
        <v>9240</v>
      </c>
      <c r="J288">
        <v>106.27</v>
      </c>
      <c r="K288">
        <v>637220.88</v>
      </c>
      <c r="L288">
        <v>349688.19</v>
      </c>
      <c r="M288">
        <v>-4946.07</v>
      </c>
    </row>
    <row r="289" spans="1:13" x14ac:dyDescent="0.3">
      <c r="A289">
        <v>1024</v>
      </c>
      <c r="B289" t="s">
        <v>39</v>
      </c>
      <c r="C289" t="s">
        <v>40</v>
      </c>
      <c r="D289" t="s">
        <v>15</v>
      </c>
      <c r="E289" s="1">
        <v>43735</v>
      </c>
      <c r="F289">
        <v>8</v>
      </c>
      <c r="G289" t="s">
        <v>27</v>
      </c>
      <c r="H289">
        <v>1251510</v>
      </c>
      <c r="I289">
        <v>11282</v>
      </c>
      <c r="J289">
        <v>110.93</v>
      </c>
      <c r="K289">
        <v>714719.04</v>
      </c>
      <c r="L289">
        <v>337702.07</v>
      </c>
      <c r="M289">
        <v>199088.889999999</v>
      </c>
    </row>
    <row r="290" spans="1:13" x14ac:dyDescent="0.3">
      <c r="A290">
        <v>1025</v>
      </c>
      <c r="B290" t="s">
        <v>41</v>
      </c>
      <c r="C290" t="s">
        <v>42</v>
      </c>
      <c r="D290" t="s">
        <v>15</v>
      </c>
      <c r="E290" s="1">
        <v>45212</v>
      </c>
      <c r="F290">
        <v>18</v>
      </c>
      <c r="G290" t="s">
        <v>16</v>
      </c>
      <c r="H290">
        <v>1456233</v>
      </c>
      <c r="I290">
        <v>14810</v>
      </c>
      <c r="J290">
        <v>98.33</v>
      </c>
      <c r="K290">
        <v>907376.54</v>
      </c>
      <c r="L290">
        <v>489314.66</v>
      </c>
      <c r="M290">
        <v>59541.799999999901</v>
      </c>
    </row>
    <row r="291" spans="1:13" x14ac:dyDescent="0.3">
      <c r="A291">
        <v>1025</v>
      </c>
      <c r="B291" t="s">
        <v>41</v>
      </c>
      <c r="C291" t="s">
        <v>42</v>
      </c>
      <c r="D291" t="s">
        <v>15</v>
      </c>
      <c r="E291" s="1">
        <v>45212</v>
      </c>
      <c r="F291">
        <v>18</v>
      </c>
      <c r="G291" t="s">
        <v>17</v>
      </c>
      <c r="H291">
        <v>779185</v>
      </c>
      <c r="I291">
        <v>9779</v>
      </c>
      <c r="J291">
        <v>79.680000000000007</v>
      </c>
      <c r="K291">
        <v>403451.34</v>
      </c>
      <c r="L291">
        <v>265468.15999999997</v>
      </c>
      <c r="M291">
        <v>110265.5</v>
      </c>
    </row>
    <row r="292" spans="1:13" x14ac:dyDescent="0.3">
      <c r="A292">
        <v>1025</v>
      </c>
      <c r="B292" t="s">
        <v>41</v>
      </c>
      <c r="C292" t="s">
        <v>42</v>
      </c>
      <c r="D292" t="s">
        <v>15</v>
      </c>
      <c r="E292" s="1">
        <v>45212</v>
      </c>
      <c r="F292">
        <v>18</v>
      </c>
      <c r="G292" t="s">
        <v>18</v>
      </c>
      <c r="H292">
        <v>1172393</v>
      </c>
      <c r="I292">
        <v>14953</v>
      </c>
      <c r="J292">
        <v>78.41</v>
      </c>
      <c r="K292">
        <v>549872.43999999994</v>
      </c>
      <c r="L292">
        <v>393165.28</v>
      </c>
      <c r="M292">
        <v>229355.28</v>
      </c>
    </row>
    <row r="293" spans="1:13" x14ac:dyDescent="0.3">
      <c r="A293">
        <v>1025</v>
      </c>
      <c r="B293" t="s">
        <v>41</v>
      </c>
      <c r="C293" t="s">
        <v>42</v>
      </c>
      <c r="D293" t="s">
        <v>15</v>
      </c>
      <c r="E293" s="1">
        <v>45212</v>
      </c>
      <c r="F293">
        <v>18</v>
      </c>
      <c r="G293" t="s">
        <v>19</v>
      </c>
      <c r="H293">
        <v>834542</v>
      </c>
      <c r="I293">
        <v>9132</v>
      </c>
      <c r="J293">
        <v>91.39</v>
      </c>
      <c r="K293">
        <v>534706.5</v>
      </c>
      <c r="L293">
        <v>323271.7</v>
      </c>
      <c r="M293">
        <v>-23436.2</v>
      </c>
    </row>
    <row r="294" spans="1:13" x14ac:dyDescent="0.3">
      <c r="A294">
        <v>1025</v>
      </c>
      <c r="B294" t="s">
        <v>41</v>
      </c>
      <c r="C294" t="s">
        <v>42</v>
      </c>
      <c r="D294" t="s">
        <v>15</v>
      </c>
      <c r="E294" s="1">
        <v>45212</v>
      </c>
      <c r="F294">
        <v>18</v>
      </c>
      <c r="G294" t="s">
        <v>20</v>
      </c>
      <c r="H294">
        <v>1294611</v>
      </c>
      <c r="I294">
        <v>4099</v>
      </c>
      <c r="J294">
        <v>315.83999999999997</v>
      </c>
      <c r="K294">
        <v>606195.06999999995</v>
      </c>
      <c r="L294">
        <v>345755.48</v>
      </c>
      <c r="M294">
        <v>342660.45</v>
      </c>
    </row>
    <row r="295" spans="1:13" x14ac:dyDescent="0.3">
      <c r="A295">
        <v>1025</v>
      </c>
      <c r="B295" t="s">
        <v>41</v>
      </c>
      <c r="C295" t="s">
        <v>42</v>
      </c>
      <c r="D295" t="s">
        <v>15</v>
      </c>
      <c r="E295" s="1">
        <v>45212</v>
      </c>
      <c r="F295">
        <v>18</v>
      </c>
      <c r="G295" t="s">
        <v>21</v>
      </c>
      <c r="H295">
        <v>1205710</v>
      </c>
      <c r="I295">
        <v>4582</v>
      </c>
      <c r="J295">
        <v>263.14</v>
      </c>
      <c r="K295">
        <v>722121.17</v>
      </c>
      <c r="L295">
        <v>391288.31</v>
      </c>
      <c r="M295">
        <v>92300.519999999902</v>
      </c>
    </row>
    <row r="296" spans="1:13" x14ac:dyDescent="0.3">
      <c r="A296">
        <v>1025</v>
      </c>
      <c r="B296" t="s">
        <v>41</v>
      </c>
      <c r="C296" t="s">
        <v>42</v>
      </c>
      <c r="D296" t="s">
        <v>15</v>
      </c>
      <c r="E296" s="1">
        <v>45212</v>
      </c>
      <c r="F296">
        <v>18</v>
      </c>
      <c r="G296" t="s">
        <v>22</v>
      </c>
      <c r="H296">
        <v>572871</v>
      </c>
      <c r="I296">
        <v>12115</v>
      </c>
      <c r="J296">
        <v>47.29</v>
      </c>
      <c r="K296">
        <v>264664.21999999997</v>
      </c>
      <c r="L296">
        <v>252822.25</v>
      </c>
      <c r="M296">
        <v>55384.53</v>
      </c>
    </row>
    <row r="297" spans="1:13" x14ac:dyDescent="0.3">
      <c r="A297">
        <v>1025</v>
      </c>
      <c r="B297" t="s">
        <v>41</v>
      </c>
      <c r="C297" t="s">
        <v>42</v>
      </c>
      <c r="D297" t="s">
        <v>15</v>
      </c>
      <c r="E297" s="1">
        <v>45212</v>
      </c>
      <c r="F297">
        <v>18</v>
      </c>
      <c r="G297" t="s">
        <v>23</v>
      </c>
      <c r="H297">
        <v>1477935</v>
      </c>
      <c r="I297">
        <v>8400</v>
      </c>
      <c r="J297">
        <v>175.94</v>
      </c>
      <c r="K297">
        <v>863117.96</v>
      </c>
      <c r="L297">
        <v>490913.44</v>
      </c>
      <c r="M297">
        <v>123903.6</v>
      </c>
    </row>
    <row r="298" spans="1:13" x14ac:dyDescent="0.3">
      <c r="A298">
        <v>1025</v>
      </c>
      <c r="B298" t="s">
        <v>41</v>
      </c>
      <c r="C298" t="s">
        <v>42</v>
      </c>
      <c r="D298" t="s">
        <v>15</v>
      </c>
      <c r="E298" s="1">
        <v>45212</v>
      </c>
      <c r="F298">
        <v>18</v>
      </c>
      <c r="G298" t="s">
        <v>24</v>
      </c>
      <c r="H298">
        <v>1186962</v>
      </c>
      <c r="I298">
        <v>14813</v>
      </c>
      <c r="J298">
        <v>80.13</v>
      </c>
      <c r="K298">
        <v>546345.81000000006</v>
      </c>
      <c r="L298">
        <v>365021.54</v>
      </c>
      <c r="M298">
        <v>275594.64999999898</v>
      </c>
    </row>
    <row r="299" spans="1:13" x14ac:dyDescent="0.3">
      <c r="A299">
        <v>1025</v>
      </c>
      <c r="B299" t="s">
        <v>41</v>
      </c>
      <c r="C299" t="s">
        <v>42</v>
      </c>
      <c r="D299" t="s">
        <v>15</v>
      </c>
      <c r="E299" s="1">
        <v>45212</v>
      </c>
      <c r="F299">
        <v>18</v>
      </c>
      <c r="G299" t="s">
        <v>25</v>
      </c>
      <c r="H299">
        <v>955252</v>
      </c>
      <c r="I299">
        <v>8761</v>
      </c>
      <c r="J299">
        <v>109.03</v>
      </c>
      <c r="K299">
        <v>449656.33</v>
      </c>
      <c r="L299">
        <v>335754.37</v>
      </c>
      <c r="M299">
        <v>169841.3</v>
      </c>
    </row>
    <row r="300" spans="1:13" x14ac:dyDescent="0.3">
      <c r="A300">
        <v>1025</v>
      </c>
      <c r="B300" t="s">
        <v>41</v>
      </c>
      <c r="C300" t="s">
        <v>42</v>
      </c>
      <c r="D300" t="s">
        <v>15</v>
      </c>
      <c r="E300" s="1">
        <v>45212</v>
      </c>
      <c r="F300">
        <v>18</v>
      </c>
      <c r="G300" t="s">
        <v>26</v>
      </c>
      <c r="H300">
        <v>624492</v>
      </c>
      <c r="I300">
        <v>13759</v>
      </c>
      <c r="J300">
        <v>45.39</v>
      </c>
      <c r="K300">
        <v>341246.08</v>
      </c>
      <c r="L300">
        <v>261946.27</v>
      </c>
      <c r="M300">
        <v>21299.6499999999</v>
      </c>
    </row>
    <row r="301" spans="1:13" x14ac:dyDescent="0.3">
      <c r="A301">
        <v>1025</v>
      </c>
      <c r="B301" t="s">
        <v>41</v>
      </c>
      <c r="C301" t="s">
        <v>42</v>
      </c>
      <c r="D301" t="s">
        <v>15</v>
      </c>
      <c r="E301" s="1">
        <v>45212</v>
      </c>
      <c r="F301">
        <v>18</v>
      </c>
      <c r="G301" t="s">
        <v>27</v>
      </c>
      <c r="H301">
        <v>1034242</v>
      </c>
      <c r="I301">
        <v>12113</v>
      </c>
      <c r="J301">
        <v>85.38</v>
      </c>
      <c r="K301">
        <v>541438.31999999995</v>
      </c>
      <c r="L301">
        <v>416304.25</v>
      </c>
      <c r="M301">
        <v>76499.429999999993</v>
      </c>
    </row>
    <row r="302" spans="1:13" x14ac:dyDescent="0.3">
      <c r="A302">
        <v>1026</v>
      </c>
      <c r="B302" t="s">
        <v>41</v>
      </c>
      <c r="C302" t="s">
        <v>42</v>
      </c>
      <c r="D302" t="s">
        <v>15</v>
      </c>
      <c r="E302" s="1">
        <v>45119</v>
      </c>
      <c r="F302">
        <v>14</v>
      </c>
      <c r="G302" t="s">
        <v>16</v>
      </c>
      <c r="H302">
        <v>1476430</v>
      </c>
      <c r="I302">
        <v>13186</v>
      </c>
      <c r="J302">
        <v>111.97</v>
      </c>
      <c r="K302">
        <v>845573.1</v>
      </c>
      <c r="L302">
        <v>558887.56999999995</v>
      </c>
      <c r="M302">
        <v>71969.33</v>
      </c>
    </row>
    <row r="303" spans="1:13" x14ac:dyDescent="0.3">
      <c r="A303">
        <v>1026</v>
      </c>
      <c r="B303" t="s">
        <v>41</v>
      </c>
      <c r="C303" t="s">
        <v>42</v>
      </c>
      <c r="D303" t="s">
        <v>15</v>
      </c>
      <c r="E303" s="1">
        <v>45119</v>
      </c>
      <c r="F303">
        <v>14</v>
      </c>
      <c r="G303" t="s">
        <v>17</v>
      </c>
      <c r="H303">
        <v>355058</v>
      </c>
      <c r="I303">
        <v>12977</v>
      </c>
      <c r="J303">
        <v>27.36</v>
      </c>
      <c r="K303">
        <v>225751.86</v>
      </c>
      <c r="L303">
        <v>147665.84</v>
      </c>
      <c r="M303">
        <v>-18359.699999999899</v>
      </c>
    </row>
    <row r="304" spans="1:13" x14ac:dyDescent="0.3">
      <c r="A304">
        <v>1026</v>
      </c>
      <c r="B304" t="s">
        <v>41</v>
      </c>
      <c r="C304" t="s">
        <v>42</v>
      </c>
      <c r="D304" t="s">
        <v>15</v>
      </c>
      <c r="E304" s="1">
        <v>45119</v>
      </c>
      <c r="F304">
        <v>14</v>
      </c>
      <c r="G304" t="s">
        <v>18</v>
      </c>
      <c r="H304">
        <v>860878</v>
      </c>
      <c r="I304">
        <v>3474</v>
      </c>
      <c r="J304">
        <v>247.81</v>
      </c>
      <c r="K304">
        <v>418458.35</v>
      </c>
      <c r="L304">
        <v>336207.08</v>
      </c>
      <c r="M304">
        <v>106212.57</v>
      </c>
    </row>
    <row r="305" spans="1:13" x14ac:dyDescent="0.3">
      <c r="A305">
        <v>1026</v>
      </c>
      <c r="B305" t="s">
        <v>41</v>
      </c>
      <c r="C305" t="s">
        <v>42</v>
      </c>
      <c r="D305" t="s">
        <v>15</v>
      </c>
      <c r="E305" s="1">
        <v>45119</v>
      </c>
      <c r="F305">
        <v>14</v>
      </c>
      <c r="G305" t="s">
        <v>19</v>
      </c>
      <c r="H305">
        <v>947987</v>
      </c>
      <c r="I305">
        <v>8567</v>
      </c>
      <c r="J305">
        <v>110.66</v>
      </c>
      <c r="K305">
        <v>493147.28</v>
      </c>
      <c r="L305">
        <v>271390.77</v>
      </c>
      <c r="M305">
        <v>183448.94999999899</v>
      </c>
    </row>
    <row r="306" spans="1:13" x14ac:dyDescent="0.3">
      <c r="A306">
        <v>1026</v>
      </c>
      <c r="B306" t="s">
        <v>41</v>
      </c>
      <c r="C306" t="s">
        <v>42</v>
      </c>
      <c r="D306" t="s">
        <v>15</v>
      </c>
      <c r="E306" s="1">
        <v>45119</v>
      </c>
      <c r="F306">
        <v>14</v>
      </c>
      <c r="G306" t="s">
        <v>20</v>
      </c>
      <c r="H306">
        <v>600420</v>
      </c>
      <c r="I306">
        <v>12278</v>
      </c>
      <c r="J306">
        <v>48.9</v>
      </c>
      <c r="K306">
        <v>349125.57</v>
      </c>
      <c r="L306">
        <v>158461.1</v>
      </c>
      <c r="M306">
        <v>92833.3299999999</v>
      </c>
    </row>
    <row r="307" spans="1:13" x14ac:dyDescent="0.3">
      <c r="A307">
        <v>1026</v>
      </c>
      <c r="B307" t="s">
        <v>41</v>
      </c>
      <c r="C307" t="s">
        <v>42</v>
      </c>
      <c r="D307" t="s">
        <v>15</v>
      </c>
      <c r="E307" s="1">
        <v>45119</v>
      </c>
      <c r="F307">
        <v>14</v>
      </c>
      <c r="G307" t="s">
        <v>21</v>
      </c>
      <c r="H307">
        <v>364292</v>
      </c>
      <c r="I307">
        <v>4503</v>
      </c>
      <c r="J307">
        <v>80.900000000000006</v>
      </c>
      <c r="K307">
        <v>218291.91</v>
      </c>
      <c r="L307">
        <v>106747.24</v>
      </c>
      <c r="M307">
        <v>39252.849999999897</v>
      </c>
    </row>
    <row r="308" spans="1:13" x14ac:dyDescent="0.3">
      <c r="A308">
        <v>1026</v>
      </c>
      <c r="B308" t="s">
        <v>41</v>
      </c>
      <c r="C308" t="s">
        <v>42</v>
      </c>
      <c r="D308" t="s">
        <v>15</v>
      </c>
      <c r="E308" s="1">
        <v>45119</v>
      </c>
      <c r="F308">
        <v>14</v>
      </c>
      <c r="G308" t="s">
        <v>22</v>
      </c>
      <c r="H308">
        <v>1180452</v>
      </c>
      <c r="I308">
        <v>10432</v>
      </c>
      <c r="J308">
        <v>113.16</v>
      </c>
      <c r="K308">
        <v>611685.67000000004</v>
      </c>
      <c r="L308">
        <v>382478.98</v>
      </c>
      <c r="M308">
        <v>186287.34999999899</v>
      </c>
    </row>
    <row r="309" spans="1:13" x14ac:dyDescent="0.3">
      <c r="A309">
        <v>1026</v>
      </c>
      <c r="B309" t="s">
        <v>41</v>
      </c>
      <c r="C309" t="s">
        <v>42</v>
      </c>
      <c r="D309" t="s">
        <v>15</v>
      </c>
      <c r="E309" s="1">
        <v>45119</v>
      </c>
      <c r="F309">
        <v>14</v>
      </c>
      <c r="G309" t="s">
        <v>23</v>
      </c>
      <c r="H309">
        <v>980280</v>
      </c>
      <c r="I309">
        <v>12299</v>
      </c>
      <c r="J309">
        <v>79.7</v>
      </c>
      <c r="K309">
        <v>558019.25</v>
      </c>
      <c r="L309">
        <v>418254.54</v>
      </c>
      <c r="M309">
        <v>4006.21000000002</v>
      </c>
    </row>
    <row r="310" spans="1:13" x14ac:dyDescent="0.3">
      <c r="A310">
        <v>1026</v>
      </c>
      <c r="B310" t="s">
        <v>41</v>
      </c>
      <c r="C310" t="s">
        <v>42</v>
      </c>
      <c r="D310" t="s">
        <v>15</v>
      </c>
      <c r="E310" s="1">
        <v>45119</v>
      </c>
      <c r="F310">
        <v>14</v>
      </c>
      <c r="G310" t="s">
        <v>24</v>
      </c>
      <c r="H310">
        <v>626274</v>
      </c>
      <c r="I310">
        <v>5579</v>
      </c>
      <c r="J310">
        <v>112.26</v>
      </c>
      <c r="K310">
        <v>376320.02</v>
      </c>
      <c r="L310">
        <v>162801.49</v>
      </c>
      <c r="M310">
        <v>87152.489999999903</v>
      </c>
    </row>
    <row r="311" spans="1:13" x14ac:dyDescent="0.3">
      <c r="A311">
        <v>1026</v>
      </c>
      <c r="B311" t="s">
        <v>41</v>
      </c>
      <c r="C311" t="s">
        <v>42</v>
      </c>
      <c r="D311" t="s">
        <v>15</v>
      </c>
      <c r="E311" s="1">
        <v>45119</v>
      </c>
      <c r="F311">
        <v>14</v>
      </c>
      <c r="G311" t="s">
        <v>25</v>
      </c>
      <c r="H311">
        <v>471088</v>
      </c>
      <c r="I311">
        <v>7458</v>
      </c>
      <c r="J311">
        <v>63.17</v>
      </c>
      <c r="K311">
        <v>253738.64</v>
      </c>
      <c r="L311">
        <v>157721.65</v>
      </c>
      <c r="M311">
        <v>59627.709999999897</v>
      </c>
    </row>
    <row r="312" spans="1:13" x14ac:dyDescent="0.3">
      <c r="A312">
        <v>1026</v>
      </c>
      <c r="B312" t="s">
        <v>41</v>
      </c>
      <c r="C312" t="s">
        <v>42</v>
      </c>
      <c r="D312" t="s">
        <v>15</v>
      </c>
      <c r="E312" s="1">
        <v>45119</v>
      </c>
      <c r="F312">
        <v>14</v>
      </c>
      <c r="G312" t="s">
        <v>26</v>
      </c>
      <c r="H312">
        <v>1227033</v>
      </c>
      <c r="I312">
        <v>9785</v>
      </c>
      <c r="J312">
        <v>125.4</v>
      </c>
      <c r="K312">
        <v>619201.80000000005</v>
      </c>
      <c r="L312">
        <v>492026.28</v>
      </c>
      <c r="M312">
        <v>115804.91999999899</v>
      </c>
    </row>
    <row r="313" spans="1:13" x14ac:dyDescent="0.3">
      <c r="A313">
        <v>1026</v>
      </c>
      <c r="B313" t="s">
        <v>41</v>
      </c>
      <c r="C313" t="s">
        <v>42</v>
      </c>
      <c r="D313" t="s">
        <v>15</v>
      </c>
      <c r="E313" s="1">
        <v>45119</v>
      </c>
      <c r="F313">
        <v>14</v>
      </c>
      <c r="G313" t="s">
        <v>27</v>
      </c>
      <c r="H313">
        <v>538692</v>
      </c>
      <c r="I313">
        <v>8655</v>
      </c>
      <c r="J313">
        <v>62.24</v>
      </c>
      <c r="K313">
        <v>288729.61</v>
      </c>
      <c r="L313">
        <v>165189.51999999999</v>
      </c>
      <c r="M313">
        <v>84772.87</v>
      </c>
    </row>
    <row r="314" spans="1:13" x14ac:dyDescent="0.3">
      <c r="A314">
        <v>1027</v>
      </c>
      <c r="B314" t="s">
        <v>41</v>
      </c>
      <c r="C314" t="s">
        <v>42</v>
      </c>
      <c r="D314" t="s">
        <v>31</v>
      </c>
      <c r="E314" s="1">
        <v>44545</v>
      </c>
      <c r="F314">
        <v>18</v>
      </c>
      <c r="G314" t="s">
        <v>16</v>
      </c>
      <c r="H314">
        <v>946802</v>
      </c>
      <c r="I314">
        <v>3744</v>
      </c>
      <c r="J314">
        <v>252.89</v>
      </c>
      <c r="K314">
        <v>467818.36</v>
      </c>
      <c r="L314">
        <v>423115.52000000002</v>
      </c>
      <c r="M314">
        <v>55868.119999999901</v>
      </c>
    </row>
    <row r="315" spans="1:13" x14ac:dyDescent="0.3">
      <c r="A315">
        <v>1027</v>
      </c>
      <c r="B315" t="s">
        <v>41</v>
      </c>
      <c r="C315" t="s">
        <v>42</v>
      </c>
      <c r="D315" t="s">
        <v>31</v>
      </c>
      <c r="E315" s="1">
        <v>44545</v>
      </c>
      <c r="F315">
        <v>18</v>
      </c>
      <c r="G315" t="s">
        <v>17</v>
      </c>
      <c r="H315">
        <v>414886</v>
      </c>
      <c r="I315">
        <v>3125</v>
      </c>
      <c r="J315">
        <v>132.76</v>
      </c>
      <c r="K315">
        <v>203661.16</v>
      </c>
      <c r="L315">
        <v>182161.85</v>
      </c>
      <c r="M315">
        <v>29062.9899999999</v>
      </c>
    </row>
    <row r="316" spans="1:13" x14ac:dyDescent="0.3">
      <c r="A316">
        <v>1027</v>
      </c>
      <c r="B316" t="s">
        <v>41</v>
      </c>
      <c r="C316" t="s">
        <v>42</v>
      </c>
      <c r="D316" t="s">
        <v>31</v>
      </c>
      <c r="E316" s="1">
        <v>44545</v>
      </c>
      <c r="F316">
        <v>18</v>
      </c>
      <c r="G316" t="s">
        <v>18</v>
      </c>
      <c r="H316">
        <v>587802</v>
      </c>
      <c r="I316">
        <v>7186</v>
      </c>
      <c r="J316">
        <v>81.8</v>
      </c>
      <c r="K316">
        <v>298538.42</v>
      </c>
      <c r="L316">
        <v>161055.91</v>
      </c>
      <c r="M316">
        <v>128207.67</v>
      </c>
    </row>
    <row r="317" spans="1:13" x14ac:dyDescent="0.3">
      <c r="A317">
        <v>1027</v>
      </c>
      <c r="B317" t="s">
        <v>41</v>
      </c>
      <c r="C317" t="s">
        <v>42</v>
      </c>
      <c r="D317" t="s">
        <v>31</v>
      </c>
      <c r="E317" s="1">
        <v>44545</v>
      </c>
      <c r="F317">
        <v>18</v>
      </c>
      <c r="G317" t="s">
        <v>19</v>
      </c>
      <c r="H317">
        <v>1343092</v>
      </c>
      <c r="I317">
        <v>10055</v>
      </c>
      <c r="J317">
        <v>133.57</v>
      </c>
      <c r="K317">
        <v>651586.26</v>
      </c>
      <c r="L317">
        <v>437903.72</v>
      </c>
      <c r="M317">
        <v>253602.02</v>
      </c>
    </row>
    <row r="318" spans="1:13" x14ac:dyDescent="0.3">
      <c r="A318">
        <v>1027</v>
      </c>
      <c r="B318" t="s">
        <v>41</v>
      </c>
      <c r="C318" t="s">
        <v>42</v>
      </c>
      <c r="D318" t="s">
        <v>31</v>
      </c>
      <c r="E318" s="1">
        <v>44545</v>
      </c>
      <c r="F318">
        <v>18</v>
      </c>
      <c r="G318" t="s">
        <v>20</v>
      </c>
      <c r="H318">
        <v>782577</v>
      </c>
      <c r="I318">
        <v>11196</v>
      </c>
      <c r="J318">
        <v>69.900000000000006</v>
      </c>
      <c r="K318">
        <v>439608.49</v>
      </c>
      <c r="L318">
        <v>300204.08</v>
      </c>
      <c r="M318">
        <v>42764.429999999898</v>
      </c>
    </row>
    <row r="319" spans="1:13" x14ac:dyDescent="0.3">
      <c r="A319">
        <v>1027</v>
      </c>
      <c r="B319" t="s">
        <v>41</v>
      </c>
      <c r="C319" t="s">
        <v>42</v>
      </c>
      <c r="D319" t="s">
        <v>31</v>
      </c>
      <c r="E319" s="1">
        <v>44545</v>
      </c>
      <c r="F319">
        <v>18</v>
      </c>
      <c r="G319" t="s">
        <v>21</v>
      </c>
      <c r="H319">
        <v>1042742</v>
      </c>
      <c r="I319">
        <v>4180</v>
      </c>
      <c r="J319">
        <v>249.46</v>
      </c>
      <c r="K319">
        <v>552042.46</v>
      </c>
      <c r="L319">
        <v>415437.03</v>
      </c>
      <c r="M319">
        <v>75262.509999999995</v>
      </c>
    </row>
    <row r="320" spans="1:13" x14ac:dyDescent="0.3">
      <c r="A320">
        <v>1027</v>
      </c>
      <c r="B320" t="s">
        <v>41</v>
      </c>
      <c r="C320" t="s">
        <v>42</v>
      </c>
      <c r="D320" t="s">
        <v>31</v>
      </c>
      <c r="E320" s="1">
        <v>44545</v>
      </c>
      <c r="F320">
        <v>18</v>
      </c>
      <c r="G320" t="s">
        <v>22</v>
      </c>
      <c r="H320">
        <v>1214818</v>
      </c>
      <c r="I320">
        <v>3307</v>
      </c>
      <c r="J320">
        <v>367.35</v>
      </c>
      <c r="K320">
        <v>658371.65</v>
      </c>
      <c r="L320">
        <v>322622.28000000003</v>
      </c>
      <c r="M320">
        <v>233824.06999999899</v>
      </c>
    </row>
    <row r="321" spans="1:13" x14ac:dyDescent="0.3">
      <c r="A321">
        <v>1027</v>
      </c>
      <c r="B321" t="s">
        <v>41</v>
      </c>
      <c r="C321" t="s">
        <v>42</v>
      </c>
      <c r="D321" t="s">
        <v>31</v>
      </c>
      <c r="E321" s="1">
        <v>44545</v>
      </c>
      <c r="F321">
        <v>18</v>
      </c>
      <c r="G321" t="s">
        <v>23</v>
      </c>
      <c r="H321">
        <v>956535</v>
      </c>
      <c r="I321">
        <v>12433</v>
      </c>
      <c r="J321">
        <v>76.94</v>
      </c>
      <c r="K321">
        <v>512565.84</v>
      </c>
      <c r="L321">
        <v>316502.68</v>
      </c>
      <c r="M321">
        <v>127466.47999999901</v>
      </c>
    </row>
    <row r="322" spans="1:13" x14ac:dyDescent="0.3">
      <c r="A322">
        <v>1027</v>
      </c>
      <c r="B322" t="s">
        <v>41</v>
      </c>
      <c r="C322" t="s">
        <v>42</v>
      </c>
      <c r="D322" t="s">
        <v>31</v>
      </c>
      <c r="E322" s="1">
        <v>44545</v>
      </c>
      <c r="F322">
        <v>18</v>
      </c>
      <c r="G322" t="s">
        <v>24</v>
      </c>
      <c r="H322">
        <v>1175967</v>
      </c>
      <c r="I322">
        <v>7743</v>
      </c>
      <c r="J322">
        <v>151.87</v>
      </c>
      <c r="K322">
        <v>556273.17000000004</v>
      </c>
      <c r="L322">
        <v>298897.08</v>
      </c>
      <c r="M322">
        <v>320796.74999999901</v>
      </c>
    </row>
    <row r="323" spans="1:13" x14ac:dyDescent="0.3">
      <c r="A323">
        <v>1027</v>
      </c>
      <c r="B323" t="s">
        <v>41</v>
      </c>
      <c r="C323" t="s">
        <v>42</v>
      </c>
      <c r="D323" t="s">
        <v>31</v>
      </c>
      <c r="E323" s="1">
        <v>44545</v>
      </c>
      <c r="F323">
        <v>18</v>
      </c>
      <c r="G323" t="s">
        <v>25</v>
      </c>
      <c r="H323">
        <v>981088</v>
      </c>
      <c r="I323">
        <v>5815</v>
      </c>
      <c r="J323">
        <v>168.72</v>
      </c>
      <c r="K323">
        <v>598723.11</v>
      </c>
      <c r="L323">
        <v>366559.06</v>
      </c>
      <c r="M323">
        <v>15805.83</v>
      </c>
    </row>
    <row r="324" spans="1:13" x14ac:dyDescent="0.3">
      <c r="A324">
        <v>1027</v>
      </c>
      <c r="B324" t="s">
        <v>41</v>
      </c>
      <c r="C324" t="s">
        <v>42</v>
      </c>
      <c r="D324" t="s">
        <v>31</v>
      </c>
      <c r="E324" s="1">
        <v>44545</v>
      </c>
      <c r="F324">
        <v>18</v>
      </c>
      <c r="G324" t="s">
        <v>26</v>
      </c>
      <c r="H324">
        <v>1058860</v>
      </c>
      <c r="I324">
        <v>4443</v>
      </c>
      <c r="J324">
        <v>238.32</v>
      </c>
      <c r="K324">
        <v>568970.32999999996</v>
      </c>
      <c r="L324">
        <v>287133.84999999998</v>
      </c>
      <c r="M324">
        <v>202755.82</v>
      </c>
    </row>
    <row r="325" spans="1:13" x14ac:dyDescent="0.3">
      <c r="A325">
        <v>1027</v>
      </c>
      <c r="B325" t="s">
        <v>41</v>
      </c>
      <c r="C325" t="s">
        <v>42</v>
      </c>
      <c r="D325" t="s">
        <v>31</v>
      </c>
      <c r="E325" s="1">
        <v>44545</v>
      </c>
      <c r="F325">
        <v>18</v>
      </c>
      <c r="G325" t="s">
        <v>27</v>
      </c>
      <c r="H325">
        <v>1213679</v>
      </c>
      <c r="I325">
        <v>12648</v>
      </c>
      <c r="J325">
        <v>95.96</v>
      </c>
      <c r="K325">
        <v>643359.06000000006</v>
      </c>
      <c r="L325">
        <v>322510.21000000002</v>
      </c>
      <c r="M325">
        <v>247809.72999999899</v>
      </c>
    </row>
    <row r="326" spans="1:13" x14ac:dyDescent="0.3">
      <c r="A326">
        <v>1028</v>
      </c>
      <c r="B326" t="s">
        <v>43</v>
      </c>
      <c r="C326" t="s">
        <v>44</v>
      </c>
      <c r="D326" t="s">
        <v>31</v>
      </c>
      <c r="E326" s="1">
        <v>44993</v>
      </c>
      <c r="F326">
        <v>13</v>
      </c>
      <c r="G326" t="s">
        <v>16</v>
      </c>
      <c r="H326">
        <v>764670</v>
      </c>
      <c r="I326">
        <v>8456</v>
      </c>
      <c r="J326">
        <v>90.43</v>
      </c>
      <c r="K326">
        <v>463255.11</v>
      </c>
      <c r="L326">
        <v>202848.5</v>
      </c>
      <c r="M326">
        <v>98566.39</v>
      </c>
    </row>
    <row r="327" spans="1:13" x14ac:dyDescent="0.3">
      <c r="A327">
        <v>1028</v>
      </c>
      <c r="B327" t="s">
        <v>43</v>
      </c>
      <c r="C327" t="s">
        <v>44</v>
      </c>
      <c r="D327" t="s">
        <v>31</v>
      </c>
      <c r="E327" s="1">
        <v>44993</v>
      </c>
      <c r="F327">
        <v>13</v>
      </c>
      <c r="G327" t="s">
        <v>17</v>
      </c>
      <c r="H327">
        <v>539131</v>
      </c>
      <c r="I327">
        <v>11693</v>
      </c>
      <c r="J327">
        <v>46.11</v>
      </c>
      <c r="K327">
        <v>297595.14</v>
      </c>
      <c r="L327">
        <v>232464.96</v>
      </c>
      <c r="M327">
        <v>9070.8999999999905</v>
      </c>
    </row>
    <row r="328" spans="1:13" x14ac:dyDescent="0.3">
      <c r="A328">
        <v>1028</v>
      </c>
      <c r="B328" t="s">
        <v>43</v>
      </c>
      <c r="C328" t="s">
        <v>44</v>
      </c>
      <c r="D328" t="s">
        <v>31</v>
      </c>
      <c r="E328" s="1">
        <v>44993</v>
      </c>
      <c r="F328">
        <v>13</v>
      </c>
      <c r="G328" t="s">
        <v>18</v>
      </c>
      <c r="H328">
        <v>1032693</v>
      </c>
      <c r="I328">
        <v>8752</v>
      </c>
      <c r="J328">
        <v>118</v>
      </c>
      <c r="K328">
        <v>614943.71</v>
      </c>
      <c r="L328">
        <v>427317.75</v>
      </c>
      <c r="M328">
        <v>-9568.4599999999591</v>
      </c>
    </row>
    <row r="329" spans="1:13" x14ac:dyDescent="0.3">
      <c r="A329">
        <v>1028</v>
      </c>
      <c r="B329" t="s">
        <v>43</v>
      </c>
      <c r="C329" t="s">
        <v>44</v>
      </c>
      <c r="D329" t="s">
        <v>31</v>
      </c>
      <c r="E329" s="1">
        <v>44993</v>
      </c>
      <c r="F329">
        <v>13</v>
      </c>
      <c r="G329" t="s">
        <v>19</v>
      </c>
      <c r="H329">
        <v>609728</v>
      </c>
      <c r="I329">
        <v>6871</v>
      </c>
      <c r="J329">
        <v>88.74</v>
      </c>
      <c r="K329">
        <v>286914.15999999997</v>
      </c>
      <c r="L329">
        <v>183646.2</v>
      </c>
      <c r="M329">
        <v>139167.64000000001</v>
      </c>
    </row>
    <row r="330" spans="1:13" x14ac:dyDescent="0.3">
      <c r="A330">
        <v>1028</v>
      </c>
      <c r="B330" t="s">
        <v>43</v>
      </c>
      <c r="C330" t="s">
        <v>44</v>
      </c>
      <c r="D330" t="s">
        <v>31</v>
      </c>
      <c r="E330" s="1">
        <v>44993</v>
      </c>
      <c r="F330">
        <v>13</v>
      </c>
      <c r="G330" t="s">
        <v>20</v>
      </c>
      <c r="H330">
        <v>663853</v>
      </c>
      <c r="I330">
        <v>12869</v>
      </c>
      <c r="J330">
        <v>51.59</v>
      </c>
      <c r="K330">
        <v>319030.46000000002</v>
      </c>
      <c r="L330">
        <v>266756.37</v>
      </c>
      <c r="M330">
        <v>78066.169999999896</v>
      </c>
    </row>
    <row r="331" spans="1:13" x14ac:dyDescent="0.3">
      <c r="A331">
        <v>1028</v>
      </c>
      <c r="B331" t="s">
        <v>43</v>
      </c>
      <c r="C331" t="s">
        <v>44</v>
      </c>
      <c r="D331" t="s">
        <v>31</v>
      </c>
      <c r="E331" s="1">
        <v>44993</v>
      </c>
      <c r="F331">
        <v>13</v>
      </c>
      <c r="G331" t="s">
        <v>21</v>
      </c>
      <c r="H331">
        <v>458027</v>
      </c>
      <c r="I331">
        <v>5902</v>
      </c>
      <c r="J331">
        <v>77.61</v>
      </c>
      <c r="K331">
        <v>293255.65000000002</v>
      </c>
      <c r="L331">
        <v>172030.25</v>
      </c>
      <c r="M331">
        <v>-7258.9000000000196</v>
      </c>
    </row>
    <row r="332" spans="1:13" x14ac:dyDescent="0.3">
      <c r="A332">
        <v>1028</v>
      </c>
      <c r="B332" t="s">
        <v>43</v>
      </c>
      <c r="C332" t="s">
        <v>44</v>
      </c>
      <c r="D332" t="s">
        <v>31</v>
      </c>
      <c r="E332" s="1">
        <v>44993</v>
      </c>
      <c r="F332">
        <v>13</v>
      </c>
      <c r="G332" t="s">
        <v>22</v>
      </c>
      <c r="H332">
        <v>1272980</v>
      </c>
      <c r="I332">
        <v>12236</v>
      </c>
      <c r="J332">
        <v>104.04</v>
      </c>
      <c r="K332">
        <v>766302.68</v>
      </c>
      <c r="L332">
        <v>432534.48</v>
      </c>
      <c r="M332">
        <v>74142.839999999895</v>
      </c>
    </row>
    <row r="333" spans="1:13" x14ac:dyDescent="0.3">
      <c r="A333">
        <v>1028</v>
      </c>
      <c r="B333" t="s">
        <v>43</v>
      </c>
      <c r="C333" t="s">
        <v>44</v>
      </c>
      <c r="D333" t="s">
        <v>31</v>
      </c>
      <c r="E333" s="1">
        <v>44993</v>
      </c>
      <c r="F333">
        <v>13</v>
      </c>
      <c r="G333" t="s">
        <v>23</v>
      </c>
      <c r="H333">
        <v>1483825</v>
      </c>
      <c r="I333">
        <v>13534</v>
      </c>
      <c r="J333">
        <v>109.64</v>
      </c>
      <c r="K333">
        <v>856255.56</v>
      </c>
      <c r="L333">
        <v>556292.46</v>
      </c>
      <c r="M333">
        <v>71276.979999999894</v>
      </c>
    </row>
    <row r="334" spans="1:13" x14ac:dyDescent="0.3">
      <c r="A334">
        <v>1028</v>
      </c>
      <c r="B334" t="s">
        <v>43</v>
      </c>
      <c r="C334" t="s">
        <v>44</v>
      </c>
      <c r="D334" t="s">
        <v>31</v>
      </c>
      <c r="E334" s="1">
        <v>44993</v>
      </c>
      <c r="F334">
        <v>13</v>
      </c>
      <c r="G334" t="s">
        <v>24</v>
      </c>
      <c r="H334">
        <v>962991</v>
      </c>
      <c r="I334">
        <v>5473</v>
      </c>
      <c r="J334">
        <v>175.95</v>
      </c>
      <c r="K334">
        <v>518043.48</v>
      </c>
      <c r="L334">
        <v>331061.11</v>
      </c>
      <c r="M334">
        <v>113886.41</v>
      </c>
    </row>
    <row r="335" spans="1:13" x14ac:dyDescent="0.3">
      <c r="A335">
        <v>1028</v>
      </c>
      <c r="B335" t="s">
        <v>43</v>
      </c>
      <c r="C335" t="s">
        <v>44</v>
      </c>
      <c r="D335" t="s">
        <v>31</v>
      </c>
      <c r="E335" s="1">
        <v>44993</v>
      </c>
      <c r="F335">
        <v>13</v>
      </c>
      <c r="G335" t="s">
        <v>25</v>
      </c>
      <c r="H335">
        <v>935060</v>
      </c>
      <c r="I335">
        <v>7500</v>
      </c>
      <c r="J335">
        <v>124.67</v>
      </c>
      <c r="K335">
        <v>531379.59</v>
      </c>
      <c r="L335">
        <v>299582.42</v>
      </c>
      <c r="M335">
        <v>104097.99</v>
      </c>
    </row>
    <row r="336" spans="1:13" x14ac:dyDescent="0.3">
      <c r="A336">
        <v>1028</v>
      </c>
      <c r="B336" t="s">
        <v>43</v>
      </c>
      <c r="C336" t="s">
        <v>44</v>
      </c>
      <c r="D336" t="s">
        <v>31</v>
      </c>
      <c r="E336" s="1">
        <v>44993</v>
      </c>
      <c r="F336">
        <v>13</v>
      </c>
      <c r="G336" t="s">
        <v>26</v>
      </c>
      <c r="H336">
        <v>455589</v>
      </c>
      <c r="I336">
        <v>8085</v>
      </c>
      <c r="J336">
        <v>56.35</v>
      </c>
      <c r="K336">
        <v>247088.01</v>
      </c>
      <c r="L336">
        <v>117323.94</v>
      </c>
      <c r="M336">
        <v>91177.049999999901</v>
      </c>
    </row>
    <row r="337" spans="1:13" x14ac:dyDescent="0.3">
      <c r="A337">
        <v>1028</v>
      </c>
      <c r="B337" t="s">
        <v>43</v>
      </c>
      <c r="C337" t="s">
        <v>44</v>
      </c>
      <c r="D337" t="s">
        <v>31</v>
      </c>
      <c r="E337" s="1">
        <v>44993</v>
      </c>
      <c r="F337">
        <v>13</v>
      </c>
      <c r="G337" t="s">
        <v>27</v>
      </c>
      <c r="H337">
        <v>1073298</v>
      </c>
      <c r="I337">
        <v>7703</v>
      </c>
      <c r="J337">
        <v>139.34</v>
      </c>
      <c r="K337">
        <v>499455.15</v>
      </c>
      <c r="L337">
        <v>453844.07</v>
      </c>
      <c r="M337">
        <v>119998.77999999899</v>
      </c>
    </row>
    <row r="338" spans="1:13" x14ac:dyDescent="0.3">
      <c r="A338">
        <v>1029</v>
      </c>
      <c r="B338" t="s">
        <v>43</v>
      </c>
      <c r="C338" t="s">
        <v>44</v>
      </c>
      <c r="D338" t="s">
        <v>15</v>
      </c>
      <c r="E338" s="1">
        <v>44725</v>
      </c>
      <c r="F338">
        <v>17</v>
      </c>
      <c r="G338" t="s">
        <v>16</v>
      </c>
      <c r="H338">
        <v>1363398</v>
      </c>
      <c r="I338">
        <v>9299</v>
      </c>
      <c r="J338">
        <v>146.62</v>
      </c>
      <c r="K338">
        <v>739701.13</v>
      </c>
      <c r="L338">
        <v>492000.27</v>
      </c>
      <c r="M338">
        <v>131696.59999999899</v>
      </c>
    </row>
    <row r="339" spans="1:13" x14ac:dyDescent="0.3">
      <c r="A339">
        <v>1029</v>
      </c>
      <c r="B339" t="s">
        <v>43</v>
      </c>
      <c r="C339" t="s">
        <v>44</v>
      </c>
      <c r="D339" t="s">
        <v>15</v>
      </c>
      <c r="E339" s="1">
        <v>44725</v>
      </c>
      <c r="F339">
        <v>17</v>
      </c>
      <c r="G339" t="s">
        <v>17</v>
      </c>
      <c r="H339">
        <v>386030</v>
      </c>
      <c r="I339">
        <v>10368</v>
      </c>
      <c r="J339">
        <v>37.229999999999997</v>
      </c>
      <c r="K339">
        <v>243897.61</v>
      </c>
      <c r="L339">
        <v>140642.82999999999</v>
      </c>
      <c r="M339">
        <v>1489.56000000002</v>
      </c>
    </row>
    <row r="340" spans="1:13" x14ac:dyDescent="0.3">
      <c r="A340">
        <v>1029</v>
      </c>
      <c r="B340" t="s">
        <v>43</v>
      </c>
      <c r="C340" t="s">
        <v>44</v>
      </c>
      <c r="D340" t="s">
        <v>15</v>
      </c>
      <c r="E340" s="1">
        <v>44725</v>
      </c>
      <c r="F340">
        <v>17</v>
      </c>
      <c r="G340" t="s">
        <v>18</v>
      </c>
      <c r="H340">
        <v>694766</v>
      </c>
      <c r="I340">
        <v>8267</v>
      </c>
      <c r="J340">
        <v>84.04</v>
      </c>
      <c r="K340">
        <v>396712.2</v>
      </c>
      <c r="L340">
        <v>243358.09</v>
      </c>
      <c r="M340">
        <v>54695.709999999897</v>
      </c>
    </row>
    <row r="341" spans="1:13" x14ac:dyDescent="0.3">
      <c r="A341">
        <v>1029</v>
      </c>
      <c r="B341" t="s">
        <v>43</v>
      </c>
      <c r="C341" t="s">
        <v>44</v>
      </c>
      <c r="D341" t="s">
        <v>15</v>
      </c>
      <c r="E341" s="1">
        <v>44725</v>
      </c>
      <c r="F341">
        <v>17</v>
      </c>
      <c r="G341" t="s">
        <v>19</v>
      </c>
      <c r="H341">
        <v>429758</v>
      </c>
      <c r="I341">
        <v>10381</v>
      </c>
      <c r="J341">
        <v>41.4</v>
      </c>
      <c r="K341">
        <v>202287.25</v>
      </c>
      <c r="L341">
        <v>184720.89</v>
      </c>
      <c r="M341">
        <v>42749.859999999899</v>
      </c>
    </row>
    <row r="342" spans="1:13" x14ac:dyDescent="0.3">
      <c r="A342">
        <v>1029</v>
      </c>
      <c r="B342" t="s">
        <v>43</v>
      </c>
      <c r="C342" t="s">
        <v>44</v>
      </c>
      <c r="D342" t="s">
        <v>15</v>
      </c>
      <c r="E342" s="1">
        <v>44725</v>
      </c>
      <c r="F342">
        <v>17</v>
      </c>
      <c r="G342" t="s">
        <v>20</v>
      </c>
      <c r="H342">
        <v>1020241</v>
      </c>
      <c r="I342">
        <v>14703</v>
      </c>
      <c r="J342">
        <v>69.39</v>
      </c>
      <c r="K342">
        <v>476315.66</v>
      </c>
      <c r="L342">
        <v>386901.32</v>
      </c>
      <c r="M342">
        <v>157024.01999999999</v>
      </c>
    </row>
    <row r="343" spans="1:13" x14ac:dyDescent="0.3">
      <c r="A343">
        <v>1029</v>
      </c>
      <c r="B343" t="s">
        <v>43</v>
      </c>
      <c r="C343" t="s">
        <v>44</v>
      </c>
      <c r="D343" t="s">
        <v>15</v>
      </c>
      <c r="E343" s="1">
        <v>44725</v>
      </c>
      <c r="F343">
        <v>17</v>
      </c>
      <c r="G343" t="s">
        <v>21</v>
      </c>
      <c r="H343">
        <v>382086</v>
      </c>
      <c r="I343">
        <v>7059</v>
      </c>
      <c r="J343">
        <v>54.13</v>
      </c>
      <c r="K343">
        <v>226013.17</v>
      </c>
      <c r="L343">
        <v>171249.88</v>
      </c>
      <c r="M343">
        <v>-15177.05</v>
      </c>
    </row>
    <row r="344" spans="1:13" x14ac:dyDescent="0.3">
      <c r="A344">
        <v>1029</v>
      </c>
      <c r="B344" t="s">
        <v>43</v>
      </c>
      <c r="C344" t="s">
        <v>44</v>
      </c>
      <c r="D344" t="s">
        <v>15</v>
      </c>
      <c r="E344" s="1">
        <v>44725</v>
      </c>
      <c r="F344">
        <v>17</v>
      </c>
      <c r="G344" t="s">
        <v>22</v>
      </c>
      <c r="H344">
        <v>1399051</v>
      </c>
      <c r="I344">
        <v>11564</v>
      </c>
      <c r="J344">
        <v>120.98</v>
      </c>
      <c r="K344">
        <v>800202.72</v>
      </c>
      <c r="L344">
        <v>451585.11</v>
      </c>
      <c r="M344">
        <v>147263.17000000001</v>
      </c>
    </row>
    <row r="345" spans="1:13" x14ac:dyDescent="0.3">
      <c r="A345">
        <v>1029</v>
      </c>
      <c r="B345" t="s">
        <v>43</v>
      </c>
      <c r="C345" t="s">
        <v>44</v>
      </c>
      <c r="D345" t="s">
        <v>15</v>
      </c>
      <c r="E345" s="1">
        <v>44725</v>
      </c>
      <c r="F345">
        <v>17</v>
      </c>
      <c r="G345" t="s">
        <v>23</v>
      </c>
      <c r="H345">
        <v>893270</v>
      </c>
      <c r="I345">
        <v>9347</v>
      </c>
      <c r="J345">
        <v>95.57</v>
      </c>
      <c r="K345">
        <v>474999.79</v>
      </c>
      <c r="L345">
        <v>283768.14</v>
      </c>
      <c r="M345">
        <v>134502.07</v>
      </c>
    </row>
    <row r="346" spans="1:13" x14ac:dyDescent="0.3">
      <c r="A346">
        <v>1029</v>
      </c>
      <c r="B346" t="s">
        <v>43</v>
      </c>
      <c r="C346" t="s">
        <v>44</v>
      </c>
      <c r="D346" t="s">
        <v>15</v>
      </c>
      <c r="E346" s="1">
        <v>44725</v>
      </c>
      <c r="F346">
        <v>17</v>
      </c>
      <c r="G346" t="s">
        <v>24</v>
      </c>
      <c r="H346">
        <v>409818</v>
      </c>
      <c r="I346">
        <v>13336</v>
      </c>
      <c r="J346">
        <v>30.73</v>
      </c>
      <c r="K346">
        <v>237473.58</v>
      </c>
      <c r="L346">
        <v>107856.87</v>
      </c>
      <c r="M346">
        <v>64487.55</v>
      </c>
    </row>
    <row r="347" spans="1:13" x14ac:dyDescent="0.3">
      <c r="A347">
        <v>1029</v>
      </c>
      <c r="B347" t="s">
        <v>43</v>
      </c>
      <c r="C347" t="s">
        <v>44</v>
      </c>
      <c r="D347" t="s">
        <v>15</v>
      </c>
      <c r="E347" s="1">
        <v>44725</v>
      </c>
      <c r="F347">
        <v>17</v>
      </c>
      <c r="G347" t="s">
        <v>25</v>
      </c>
      <c r="H347">
        <v>498193</v>
      </c>
      <c r="I347">
        <v>12141</v>
      </c>
      <c r="J347">
        <v>41.03</v>
      </c>
      <c r="K347">
        <v>291779.62</v>
      </c>
      <c r="L347">
        <v>152860.26</v>
      </c>
      <c r="M347">
        <v>53553.119999999901</v>
      </c>
    </row>
    <row r="348" spans="1:13" x14ac:dyDescent="0.3">
      <c r="A348">
        <v>1029</v>
      </c>
      <c r="B348" t="s">
        <v>43</v>
      </c>
      <c r="C348" t="s">
        <v>44</v>
      </c>
      <c r="D348" t="s">
        <v>15</v>
      </c>
      <c r="E348" s="1">
        <v>44725</v>
      </c>
      <c r="F348">
        <v>17</v>
      </c>
      <c r="G348" t="s">
        <v>26</v>
      </c>
      <c r="H348">
        <v>615355</v>
      </c>
      <c r="I348">
        <v>8461</v>
      </c>
      <c r="J348">
        <v>72.73</v>
      </c>
      <c r="K348">
        <v>286940.28000000003</v>
      </c>
      <c r="L348">
        <v>235510.16</v>
      </c>
      <c r="M348">
        <v>92904.559999999896</v>
      </c>
    </row>
    <row r="349" spans="1:13" x14ac:dyDescent="0.3">
      <c r="A349">
        <v>1029</v>
      </c>
      <c r="B349" t="s">
        <v>43</v>
      </c>
      <c r="C349" t="s">
        <v>44</v>
      </c>
      <c r="D349" t="s">
        <v>15</v>
      </c>
      <c r="E349" s="1">
        <v>44725</v>
      </c>
      <c r="F349">
        <v>17</v>
      </c>
      <c r="G349" t="s">
        <v>27</v>
      </c>
      <c r="H349">
        <v>1033627</v>
      </c>
      <c r="I349">
        <v>8082</v>
      </c>
      <c r="J349">
        <v>127.89</v>
      </c>
      <c r="K349">
        <v>665179.6</v>
      </c>
      <c r="L349">
        <v>402800.3</v>
      </c>
      <c r="M349">
        <v>-34352.8999999999</v>
      </c>
    </row>
    <row r="350" spans="1:13" x14ac:dyDescent="0.3">
      <c r="A350">
        <v>1030</v>
      </c>
      <c r="B350" t="s">
        <v>43</v>
      </c>
      <c r="C350" t="s">
        <v>44</v>
      </c>
      <c r="D350" t="s">
        <v>31</v>
      </c>
      <c r="E350" s="1">
        <v>43730</v>
      </c>
      <c r="F350">
        <v>17</v>
      </c>
      <c r="G350" t="s">
        <v>16</v>
      </c>
      <c r="H350">
        <v>477668</v>
      </c>
      <c r="I350">
        <v>8072</v>
      </c>
      <c r="J350">
        <v>59.18</v>
      </c>
      <c r="K350">
        <v>268346.44</v>
      </c>
      <c r="L350">
        <v>180892.23</v>
      </c>
      <c r="M350">
        <v>28429.3299999999</v>
      </c>
    </row>
    <row r="351" spans="1:13" x14ac:dyDescent="0.3">
      <c r="A351">
        <v>1030</v>
      </c>
      <c r="B351" t="s">
        <v>43</v>
      </c>
      <c r="C351" t="s">
        <v>44</v>
      </c>
      <c r="D351" t="s">
        <v>31</v>
      </c>
      <c r="E351" s="1">
        <v>43730</v>
      </c>
      <c r="F351">
        <v>17</v>
      </c>
      <c r="G351" t="s">
        <v>17</v>
      </c>
      <c r="H351">
        <v>988865</v>
      </c>
      <c r="I351">
        <v>5093</v>
      </c>
      <c r="J351">
        <v>194.16</v>
      </c>
      <c r="K351">
        <v>577520.18000000005</v>
      </c>
      <c r="L351">
        <v>411161.95</v>
      </c>
      <c r="M351">
        <v>182.86999999993699</v>
      </c>
    </row>
    <row r="352" spans="1:13" x14ac:dyDescent="0.3">
      <c r="A352">
        <v>1030</v>
      </c>
      <c r="B352" t="s">
        <v>43</v>
      </c>
      <c r="C352" t="s">
        <v>44</v>
      </c>
      <c r="D352" t="s">
        <v>31</v>
      </c>
      <c r="E352" s="1">
        <v>43730</v>
      </c>
      <c r="F352">
        <v>17</v>
      </c>
      <c r="G352" t="s">
        <v>18</v>
      </c>
      <c r="H352">
        <v>1403926</v>
      </c>
      <c r="I352">
        <v>4531</v>
      </c>
      <c r="J352">
        <v>309.85000000000002</v>
      </c>
      <c r="K352">
        <v>813160.91</v>
      </c>
      <c r="L352">
        <v>469867.74</v>
      </c>
      <c r="M352">
        <v>120897.349999999</v>
      </c>
    </row>
    <row r="353" spans="1:13" x14ac:dyDescent="0.3">
      <c r="A353">
        <v>1030</v>
      </c>
      <c r="B353" t="s">
        <v>43</v>
      </c>
      <c r="C353" t="s">
        <v>44</v>
      </c>
      <c r="D353" t="s">
        <v>31</v>
      </c>
      <c r="E353" s="1">
        <v>43730</v>
      </c>
      <c r="F353">
        <v>17</v>
      </c>
      <c r="G353" t="s">
        <v>19</v>
      </c>
      <c r="H353">
        <v>1058808</v>
      </c>
      <c r="I353">
        <v>3298</v>
      </c>
      <c r="J353">
        <v>321.05</v>
      </c>
      <c r="K353">
        <v>553247.86</v>
      </c>
      <c r="L353">
        <v>302874.76</v>
      </c>
      <c r="M353">
        <v>202685.38</v>
      </c>
    </row>
    <row r="354" spans="1:13" x14ac:dyDescent="0.3">
      <c r="A354">
        <v>1030</v>
      </c>
      <c r="B354" t="s">
        <v>43</v>
      </c>
      <c r="C354" t="s">
        <v>44</v>
      </c>
      <c r="D354" t="s">
        <v>31</v>
      </c>
      <c r="E354" s="1">
        <v>43730</v>
      </c>
      <c r="F354">
        <v>17</v>
      </c>
      <c r="G354" t="s">
        <v>20</v>
      </c>
      <c r="H354">
        <v>749194</v>
      </c>
      <c r="I354">
        <v>8598</v>
      </c>
      <c r="J354">
        <v>87.14</v>
      </c>
      <c r="K354">
        <v>479134.78</v>
      </c>
      <c r="L354">
        <v>260160.75</v>
      </c>
      <c r="M354">
        <v>9898.4699999999702</v>
      </c>
    </row>
    <row r="355" spans="1:13" x14ac:dyDescent="0.3">
      <c r="A355">
        <v>1030</v>
      </c>
      <c r="B355" t="s">
        <v>43</v>
      </c>
      <c r="C355" t="s">
        <v>44</v>
      </c>
      <c r="D355" t="s">
        <v>31</v>
      </c>
      <c r="E355" s="1">
        <v>43730</v>
      </c>
      <c r="F355">
        <v>17</v>
      </c>
      <c r="G355" t="s">
        <v>21</v>
      </c>
      <c r="H355">
        <v>775095</v>
      </c>
      <c r="I355">
        <v>5253</v>
      </c>
      <c r="J355">
        <v>147.55000000000001</v>
      </c>
      <c r="K355">
        <v>372812.2</v>
      </c>
      <c r="L355">
        <v>239627.15</v>
      </c>
      <c r="M355">
        <v>162655.65</v>
      </c>
    </row>
    <row r="356" spans="1:13" x14ac:dyDescent="0.3">
      <c r="A356">
        <v>1030</v>
      </c>
      <c r="B356" t="s">
        <v>43</v>
      </c>
      <c r="C356" t="s">
        <v>44</v>
      </c>
      <c r="D356" t="s">
        <v>31</v>
      </c>
      <c r="E356" s="1">
        <v>43730</v>
      </c>
      <c r="F356">
        <v>17</v>
      </c>
      <c r="G356" t="s">
        <v>22</v>
      </c>
      <c r="H356">
        <v>512107</v>
      </c>
      <c r="I356">
        <v>11317</v>
      </c>
      <c r="J356">
        <v>45.25</v>
      </c>
      <c r="K356">
        <v>309402.21999999997</v>
      </c>
      <c r="L356">
        <v>213560.89</v>
      </c>
      <c r="M356">
        <v>-10856.109999999901</v>
      </c>
    </row>
    <row r="357" spans="1:13" x14ac:dyDescent="0.3">
      <c r="A357">
        <v>1030</v>
      </c>
      <c r="B357" t="s">
        <v>43</v>
      </c>
      <c r="C357" t="s">
        <v>44</v>
      </c>
      <c r="D357" t="s">
        <v>31</v>
      </c>
      <c r="E357" s="1">
        <v>43730</v>
      </c>
      <c r="F357">
        <v>17</v>
      </c>
      <c r="G357" t="s">
        <v>23</v>
      </c>
      <c r="H357">
        <v>1404216</v>
      </c>
      <c r="I357">
        <v>3618</v>
      </c>
      <c r="J357">
        <v>388.12</v>
      </c>
      <c r="K357">
        <v>817795.53</v>
      </c>
      <c r="L357">
        <v>597182.94999999995</v>
      </c>
      <c r="M357">
        <v>-10762.4799999999</v>
      </c>
    </row>
    <row r="358" spans="1:13" x14ac:dyDescent="0.3">
      <c r="A358">
        <v>1030</v>
      </c>
      <c r="B358" t="s">
        <v>43</v>
      </c>
      <c r="C358" t="s">
        <v>44</v>
      </c>
      <c r="D358" t="s">
        <v>31</v>
      </c>
      <c r="E358" s="1">
        <v>43730</v>
      </c>
      <c r="F358">
        <v>17</v>
      </c>
      <c r="G358" t="s">
        <v>24</v>
      </c>
      <c r="H358">
        <v>574829</v>
      </c>
      <c r="I358">
        <v>12785</v>
      </c>
      <c r="J358">
        <v>44.96</v>
      </c>
      <c r="K358">
        <v>301982.95</v>
      </c>
      <c r="L358">
        <v>162360.13</v>
      </c>
      <c r="M358">
        <v>110485.91999999899</v>
      </c>
    </row>
    <row r="359" spans="1:13" x14ac:dyDescent="0.3">
      <c r="A359">
        <v>1030</v>
      </c>
      <c r="B359" t="s">
        <v>43</v>
      </c>
      <c r="C359" t="s">
        <v>44</v>
      </c>
      <c r="D359" t="s">
        <v>31</v>
      </c>
      <c r="E359" s="1">
        <v>43730</v>
      </c>
      <c r="F359">
        <v>17</v>
      </c>
      <c r="G359" t="s">
        <v>25</v>
      </c>
      <c r="H359">
        <v>647160</v>
      </c>
      <c r="I359">
        <v>14815</v>
      </c>
      <c r="J359">
        <v>43.68</v>
      </c>
      <c r="K359">
        <v>347870.94</v>
      </c>
      <c r="L359">
        <v>214968.25</v>
      </c>
      <c r="M359">
        <v>84320.81</v>
      </c>
    </row>
    <row r="360" spans="1:13" x14ac:dyDescent="0.3">
      <c r="A360">
        <v>1030</v>
      </c>
      <c r="B360" t="s">
        <v>43</v>
      </c>
      <c r="C360" t="s">
        <v>44</v>
      </c>
      <c r="D360" t="s">
        <v>31</v>
      </c>
      <c r="E360" s="1">
        <v>43730</v>
      </c>
      <c r="F360">
        <v>17</v>
      </c>
      <c r="G360" t="s">
        <v>26</v>
      </c>
      <c r="H360">
        <v>798136</v>
      </c>
      <c r="I360">
        <v>10277</v>
      </c>
      <c r="J360">
        <v>77.66</v>
      </c>
      <c r="K360">
        <v>456628.84</v>
      </c>
      <c r="L360">
        <v>319636.09000000003</v>
      </c>
      <c r="M360">
        <v>21871.069999999901</v>
      </c>
    </row>
    <row r="361" spans="1:13" x14ac:dyDescent="0.3">
      <c r="A361">
        <v>1030</v>
      </c>
      <c r="B361" t="s">
        <v>43</v>
      </c>
      <c r="C361" t="s">
        <v>44</v>
      </c>
      <c r="D361" t="s">
        <v>31</v>
      </c>
      <c r="E361" s="1">
        <v>43730</v>
      </c>
      <c r="F361">
        <v>17</v>
      </c>
      <c r="G361" t="s">
        <v>27</v>
      </c>
      <c r="H361">
        <v>1241470</v>
      </c>
      <c r="I361">
        <v>6833</v>
      </c>
      <c r="J361">
        <v>181.69</v>
      </c>
      <c r="K361">
        <v>691253.26</v>
      </c>
      <c r="L361">
        <v>387206.52</v>
      </c>
      <c r="M361">
        <v>163010.21999999901</v>
      </c>
    </row>
  </sheetData>
  <autoFilter ref="A1:M361" xr:uid="{37BACFE2-DF08-4901-9B00-74AAE92EEF86}"/>
  <conditionalFormatting sqref="A1:M361">
    <cfRule type="cellIs" dxfId="1" priority="1" operator="equal">
      <formula>"(blank)"</formula>
    </cfRule>
    <cfRule type="cellIs" dxfId="0" priority="2" operator="equal">
      <formula>"blanl"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1A1AD-F15C-4395-8DDA-96278F8ECAB1}">
  <dimension ref="A1:D15"/>
  <sheetViews>
    <sheetView workbookViewId="0">
      <selection activeCell="G19" sqref="G19"/>
    </sheetView>
  </sheetViews>
  <sheetFormatPr defaultRowHeight="14.4" x14ac:dyDescent="0.3"/>
  <cols>
    <col min="1" max="1" width="12.5546875" bestFit="1" customWidth="1"/>
    <col min="2" max="2" width="19.77734375" bestFit="1" customWidth="1"/>
  </cols>
  <sheetData>
    <row r="1" spans="1:4" s="5" customFormat="1" x14ac:dyDescent="0.3">
      <c r="A1" s="6"/>
      <c r="B1" s="6"/>
      <c r="C1" s="6"/>
      <c r="D1" s="6"/>
    </row>
    <row r="2" spans="1:4" s="5" customFormat="1" x14ac:dyDescent="0.3">
      <c r="A2" s="6"/>
      <c r="B2" s="6"/>
      <c r="C2" s="6"/>
      <c r="D2" s="6"/>
    </row>
    <row r="3" spans="1:4" s="5" customFormat="1" x14ac:dyDescent="0.3">
      <c r="A3" s="6"/>
      <c r="B3" s="6"/>
      <c r="C3" s="6"/>
      <c r="D3" s="6"/>
    </row>
    <row r="4" spans="1:4" x14ac:dyDescent="0.3">
      <c r="A4" s="2" t="s">
        <v>45</v>
      </c>
      <c r="B4" t="s">
        <v>47</v>
      </c>
    </row>
    <row r="5" spans="1:4" x14ac:dyDescent="0.3">
      <c r="A5" s="3" t="s">
        <v>29</v>
      </c>
      <c r="B5" s="4">
        <v>34588617</v>
      </c>
    </row>
    <row r="6" spans="1:4" x14ac:dyDescent="0.3">
      <c r="A6" s="3" t="s">
        <v>41</v>
      </c>
      <c r="B6" s="4">
        <v>33942160</v>
      </c>
    </row>
    <row r="7" spans="1:4" x14ac:dyDescent="0.3">
      <c r="A7" s="3" t="s">
        <v>34</v>
      </c>
      <c r="B7" s="4">
        <v>33539915</v>
      </c>
    </row>
    <row r="8" spans="1:4" x14ac:dyDescent="0.3">
      <c r="A8" s="3" t="s">
        <v>13</v>
      </c>
      <c r="B8" s="4">
        <v>33490792</v>
      </c>
    </row>
    <row r="9" spans="1:4" x14ac:dyDescent="0.3">
      <c r="A9" s="3" t="s">
        <v>28</v>
      </c>
      <c r="B9" s="4">
        <v>31799759</v>
      </c>
    </row>
    <row r="10" spans="1:4" x14ac:dyDescent="0.3">
      <c r="A10" s="3" t="s">
        <v>38</v>
      </c>
      <c r="B10" s="4">
        <v>31577495</v>
      </c>
    </row>
    <row r="11" spans="1:4" x14ac:dyDescent="0.3">
      <c r="A11" s="3" t="s">
        <v>36</v>
      </c>
      <c r="B11" s="4">
        <v>30529827</v>
      </c>
    </row>
    <row r="12" spans="1:4" x14ac:dyDescent="0.3">
      <c r="A12" s="3" t="s">
        <v>32</v>
      </c>
      <c r="B12" s="4">
        <v>30221980</v>
      </c>
    </row>
    <row r="13" spans="1:4" x14ac:dyDescent="0.3">
      <c r="A13" s="3" t="s">
        <v>43</v>
      </c>
      <c r="B13" s="4">
        <v>30008912</v>
      </c>
    </row>
    <row r="14" spans="1:4" x14ac:dyDescent="0.3">
      <c r="A14" s="3" t="s">
        <v>39</v>
      </c>
      <c r="B14" s="4">
        <v>29516379</v>
      </c>
    </row>
    <row r="15" spans="1:4" x14ac:dyDescent="0.3">
      <c r="A15" s="3" t="s">
        <v>46</v>
      </c>
      <c r="B15" s="4">
        <v>319215836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3684E-C254-4BA9-9802-C421D0DDED8D}">
  <dimension ref="D4:E7"/>
  <sheetViews>
    <sheetView workbookViewId="0">
      <selection activeCell="K13" sqref="K13"/>
    </sheetView>
  </sheetViews>
  <sheetFormatPr defaultRowHeight="14.4" x14ac:dyDescent="0.3"/>
  <cols>
    <col min="4" max="4" width="15.21875" bestFit="1" customWidth="1"/>
    <col min="5" max="5" width="19.77734375" bestFit="1" customWidth="1"/>
  </cols>
  <sheetData>
    <row r="4" spans="4:5" x14ac:dyDescent="0.3">
      <c r="D4" s="2" t="s">
        <v>45</v>
      </c>
      <c r="E4" t="s">
        <v>47</v>
      </c>
    </row>
    <row r="5" spans="4:5" x14ac:dyDescent="0.3">
      <c r="D5" s="3" t="s">
        <v>15</v>
      </c>
      <c r="E5" s="4">
        <v>169058274</v>
      </c>
    </row>
    <row r="6" spans="4:5" x14ac:dyDescent="0.3">
      <c r="D6" s="3" t="s">
        <v>31</v>
      </c>
      <c r="E6" s="4">
        <v>150157562</v>
      </c>
    </row>
    <row r="7" spans="4:5" x14ac:dyDescent="0.3">
      <c r="D7" s="3" t="s">
        <v>46</v>
      </c>
      <c r="E7" s="7">
        <v>319215836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9E789-A08A-4F73-9351-C6A91C989F65}">
  <dimension ref="A1"/>
  <sheetViews>
    <sheetView workbookViewId="0">
      <selection activeCell="H21" sqref="H21"/>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13112-D1D8-4397-8FAD-6698720BDAE9}">
  <dimension ref="B4:C9"/>
  <sheetViews>
    <sheetView workbookViewId="0">
      <selection activeCell="B5" sqref="B5:C9"/>
    </sheetView>
  </sheetViews>
  <sheetFormatPr defaultRowHeight="14.4" x14ac:dyDescent="0.3"/>
  <cols>
    <col min="2" max="2" width="34.33203125" customWidth="1"/>
    <col min="3" max="3" width="23" customWidth="1"/>
  </cols>
  <sheetData>
    <row r="4" spans="2:3" x14ac:dyDescent="0.3">
      <c r="B4" s="8" t="s">
        <v>51</v>
      </c>
      <c r="C4" s="12" t="s">
        <v>52</v>
      </c>
    </row>
    <row r="5" spans="2:3" ht="27" customHeight="1" x14ac:dyDescent="0.3">
      <c r="B5" s="9" t="s">
        <v>53</v>
      </c>
      <c r="C5" s="13">
        <f>SUM(Starbucks_India_Data!$H$2:$H$361)</f>
        <v>319215836</v>
      </c>
    </row>
    <row r="6" spans="2:3" ht="19.2" customHeight="1" x14ac:dyDescent="0.3">
      <c r="B6" s="9" t="s">
        <v>54</v>
      </c>
      <c r="C6" s="10">
        <f>SUM(Starbucks_India_Data!I2:I361)</f>
        <v>3248900</v>
      </c>
    </row>
    <row r="7" spans="2:3" ht="16.2" customHeight="1" x14ac:dyDescent="0.3">
      <c r="B7" s="9" t="s">
        <v>55</v>
      </c>
      <c r="C7" s="13">
        <f>SUM(Starbucks_India_Data!J2:J361)</f>
        <v>42815.97000000003</v>
      </c>
    </row>
    <row r="8" spans="2:3" ht="16.8" customHeight="1" x14ac:dyDescent="0.3">
      <c r="B8" s="9" t="s">
        <v>56</v>
      </c>
      <c r="C8" s="10">
        <f>COUNTA(Starbucks_India_Data!A2:A361)</f>
        <v>360</v>
      </c>
    </row>
    <row r="9" spans="2:3" ht="17.399999999999999" customHeight="1" x14ac:dyDescent="0.3">
      <c r="B9" s="11" t="s">
        <v>57</v>
      </c>
      <c r="C9" s="14">
        <f>C5/C8</f>
        <v>886710.6555555556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97BA0-52CB-408C-8E45-524422078305}">
  <dimension ref="B6:D7"/>
  <sheetViews>
    <sheetView workbookViewId="0">
      <selection activeCell="D17" sqref="D17"/>
    </sheetView>
  </sheetViews>
  <sheetFormatPr defaultRowHeight="14.4" x14ac:dyDescent="0.3"/>
  <cols>
    <col min="2" max="2" width="22.77734375" bestFit="1" customWidth="1"/>
    <col min="3" max="3" width="21.44140625" bestFit="1" customWidth="1"/>
    <col min="4" max="4" width="28.21875" bestFit="1" customWidth="1"/>
  </cols>
  <sheetData>
    <row r="6" spans="2:4" x14ac:dyDescent="0.3">
      <c r="B6" t="s">
        <v>48</v>
      </c>
      <c r="C6" t="s">
        <v>49</v>
      </c>
      <c r="D6" t="s">
        <v>50</v>
      </c>
    </row>
    <row r="7" spans="2:4" x14ac:dyDescent="0.3">
      <c r="B7" s="7">
        <v>176127333.80000004</v>
      </c>
      <c r="C7" s="7">
        <v>111979378.62999997</v>
      </c>
      <c r="D7" s="7">
        <v>31109123.569999952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4D49-5C37-4788-A7E6-03CDD5B8D44A}">
  <dimension ref="B4:C17"/>
  <sheetViews>
    <sheetView workbookViewId="0">
      <selection activeCell="B4" sqref="B4:C17"/>
    </sheetView>
  </sheetViews>
  <sheetFormatPr defaultRowHeight="14.4" x14ac:dyDescent="0.3"/>
  <cols>
    <col min="2" max="2" width="12.5546875" bestFit="1" customWidth="1"/>
    <col min="3" max="3" width="19.77734375" bestFit="1" customWidth="1"/>
  </cols>
  <sheetData>
    <row r="4" spans="2:3" x14ac:dyDescent="0.3">
      <c r="B4" s="2" t="s">
        <v>45</v>
      </c>
      <c r="C4" t="s">
        <v>47</v>
      </c>
    </row>
    <row r="5" spans="2:3" x14ac:dyDescent="0.3">
      <c r="B5" s="3" t="s">
        <v>16</v>
      </c>
      <c r="C5" s="15">
        <v>3555502</v>
      </c>
    </row>
    <row r="6" spans="2:3" x14ac:dyDescent="0.3">
      <c r="B6" s="3" t="s">
        <v>17</v>
      </c>
      <c r="C6" s="15">
        <v>4366158</v>
      </c>
    </row>
    <row r="7" spans="2:3" x14ac:dyDescent="0.3">
      <c r="B7" s="3" t="s">
        <v>18</v>
      </c>
      <c r="C7" s="15">
        <v>2917210</v>
      </c>
    </row>
    <row r="8" spans="2:3" x14ac:dyDescent="0.3">
      <c r="B8" s="3" t="s">
        <v>19</v>
      </c>
      <c r="C8" s="15">
        <v>4077235</v>
      </c>
    </row>
    <row r="9" spans="2:3" x14ac:dyDescent="0.3">
      <c r="B9" s="3" t="s">
        <v>20</v>
      </c>
      <c r="C9" s="15">
        <v>4615070</v>
      </c>
    </row>
    <row r="10" spans="2:3" x14ac:dyDescent="0.3">
      <c r="B10" s="3" t="s">
        <v>21</v>
      </c>
      <c r="C10" s="15">
        <v>2747439</v>
      </c>
    </row>
    <row r="11" spans="2:3" x14ac:dyDescent="0.3">
      <c r="B11" s="3" t="s">
        <v>22</v>
      </c>
      <c r="C11" s="15">
        <v>2957673</v>
      </c>
    </row>
    <row r="12" spans="2:3" x14ac:dyDescent="0.3">
      <c r="B12" s="3" t="s">
        <v>23</v>
      </c>
      <c r="C12" s="15">
        <v>3506166</v>
      </c>
    </row>
    <row r="13" spans="2:3" x14ac:dyDescent="0.3">
      <c r="B13" s="3" t="s">
        <v>24</v>
      </c>
      <c r="C13" s="15">
        <v>4663773</v>
      </c>
    </row>
    <row r="14" spans="2:3" x14ac:dyDescent="0.3">
      <c r="B14" s="3" t="s">
        <v>25</v>
      </c>
      <c r="C14" s="15">
        <v>2765369</v>
      </c>
    </row>
    <row r="15" spans="2:3" x14ac:dyDescent="0.3">
      <c r="B15" s="3" t="s">
        <v>26</v>
      </c>
      <c r="C15" s="15">
        <v>3833094</v>
      </c>
    </row>
    <row r="16" spans="2:3" x14ac:dyDescent="0.3">
      <c r="B16" s="3" t="s">
        <v>27</v>
      </c>
      <c r="C16" s="15">
        <v>2760575</v>
      </c>
    </row>
    <row r="17" spans="2:3" x14ac:dyDescent="0.3">
      <c r="B17" s="3" t="s">
        <v>46</v>
      </c>
      <c r="C17" s="15">
        <v>42765264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71001-672A-4C8B-AE5A-E65940405BBA}">
  <dimension ref="B4:C15"/>
  <sheetViews>
    <sheetView workbookViewId="0">
      <selection activeCell="F30" sqref="F30"/>
    </sheetView>
  </sheetViews>
  <sheetFormatPr defaultRowHeight="14.4" x14ac:dyDescent="0.3"/>
  <cols>
    <col min="2" max="2" width="12.5546875" bestFit="1" customWidth="1"/>
    <col min="3" max="3" width="19.77734375" bestFit="1" customWidth="1"/>
  </cols>
  <sheetData>
    <row r="4" spans="2:3" x14ac:dyDescent="0.3">
      <c r="B4" s="2" t="s">
        <v>45</v>
      </c>
      <c r="C4" t="s">
        <v>47</v>
      </c>
    </row>
    <row r="5" spans="2:3" x14ac:dyDescent="0.3">
      <c r="B5" s="3" t="s">
        <v>29</v>
      </c>
      <c r="C5" s="15">
        <v>34588617</v>
      </c>
    </row>
    <row r="6" spans="2:3" x14ac:dyDescent="0.3">
      <c r="B6" s="3" t="s">
        <v>41</v>
      </c>
      <c r="C6" s="15">
        <v>33942160</v>
      </c>
    </row>
    <row r="7" spans="2:3" x14ac:dyDescent="0.3">
      <c r="B7" s="3" t="s">
        <v>34</v>
      </c>
      <c r="C7" s="15">
        <v>33539915</v>
      </c>
    </row>
    <row r="8" spans="2:3" x14ac:dyDescent="0.3">
      <c r="B8" s="3" t="s">
        <v>13</v>
      </c>
      <c r="C8" s="15">
        <v>33490792</v>
      </c>
    </row>
    <row r="9" spans="2:3" x14ac:dyDescent="0.3">
      <c r="B9" s="3" t="s">
        <v>28</v>
      </c>
      <c r="C9" s="15">
        <v>31799759</v>
      </c>
    </row>
    <row r="10" spans="2:3" x14ac:dyDescent="0.3">
      <c r="B10" s="3" t="s">
        <v>38</v>
      </c>
      <c r="C10" s="15">
        <v>31577495</v>
      </c>
    </row>
    <row r="11" spans="2:3" x14ac:dyDescent="0.3">
      <c r="B11" s="3" t="s">
        <v>36</v>
      </c>
      <c r="C11" s="15">
        <v>30529827</v>
      </c>
    </row>
    <row r="12" spans="2:3" x14ac:dyDescent="0.3">
      <c r="B12" s="3" t="s">
        <v>32</v>
      </c>
      <c r="C12" s="15">
        <v>30221980</v>
      </c>
    </row>
    <row r="13" spans="2:3" x14ac:dyDescent="0.3">
      <c r="B13" s="3" t="s">
        <v>43</v>
      </c>
      <c r="C13" s="15">
        <v>30008912</v>
      </c>
    </row>
    <row r="14" spans="2:3" x14ac:dyDescent="0.3">
      <c r="B14" s="3" t="s">
        <v>39</v>
      </c>
      <c r="C14" s="15">
        <v>29516379</v>
      </c>
    </row>
    <row r="15" spans="2:3" x14ac:dyDescent="0.3">
      <c r="B15" s="3" t="s">
        <v>46</v>
      </c>
      <c r="C15" s="15">
        <v>319215836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 </vt:lpstr>
      <vt:lpstr>Starbucks_India_Data</vt:lpstr>
      <vt:lpstr>Pivot_City_Revenue</vt:lpstr>
      <vt:lpstr>Pivot_StoreType_Revenue</vt:lpstr>
      <vt:lpstr>Scatter Plot</vt:lpstr>
      <vt:lpstr>KPI Summary</vt:lpstr>
      <vt:lpstr>Revenue by Product Category</vt:lpstr>
      <vt:lpstr>Monthly Revenue Trends</vt:lpstr>
      <vt:lpstr>Revenue of top cities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dashrath kumar</dc:creator>
  <cp:lastModifiedBy>dashrath kumar</cp:lastModifiedBy>
  <dcterms:created xsi:type="dcterms:W3CDTF">2025-05-02T09:54:40Z</dcterms:created>
  <dcterms:modified xsi:type="dcterms:W3CDTF">2025-05-02T12:00:38Z</dcterms:modified>
</cp:coreProperties>
</file>